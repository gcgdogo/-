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24675" windowHeight="12945" activeTab="2"/>
  </bookViews>
  <sheets>
    <sheet name="Sheet1" sheetId="1" r:id="rId1"/>
    <sheet name="Sheet2" sheetId="2" r:id="rId2"/>
    <sheet name="不常用筛选" sheetId="3" r:id="rId3"/>
  </sheets>
  <calcPr calcId="144525"/>
</workbook>
</file>

<file path=xl/calcChain.xml><?xml version="1.0" encoding="utf-8"?>
<calcChain xmlns="http://schemas.openxmlformats.org/spreadsheetml/2006/main">
  <c r="H30" i="3" l="1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1" i="3"/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" i="2" l="1"/>
</calcChain>
</file>

<file path=xl/sharedStrings.xml><?xml version="1.0" encoding="utf-8"?>
<sst xmlns="http://schemas.openxmlformats.org/spreadsheetml/2006/main" count="2024" uniqueCount="569">
  <si>
    <t>扒:Ba,Pa,</t>
  </si>
  <si>
    <t>磅:Bang,Pang,</t>
  </si>
  <si>
    <t>堡:Bao,Bu,Pu,</t>
  </si>
  <si>
    <t>扁:Bian,Pian,</t>
  </si>
  <si>
    <t>便:Bian,Pian,</t>
  </si>
  <si>
    <t>泊:Bo,Po,</t>
  </si>
  <si>
    <t>藏:Cang,Zang,</t>
  </si>
  <si>
    <t>曾:Ceng,Zeng,</t>
  </si>
  <si>
    <t>查:Cha,Zha,</t>
  </si>
  <si>
    <t>长:Chang,Zhang,</t>
  </si>
  <si>
    <t>车:Che,Ju,</t>
  </si>
  <si>
    <t>澄:Cheng,Deng,</t>
  </si>
  <si>
    <t>畜:Chu,Xu,</t>
  </si>
  <si>
    <t>传:Chuan,Zhuan,</t>
  </si>
  <si>
    <t>弹:Dan,Tan,</t>
  </si>
  <si>
    <t>叨:Dao,Tao,</t>
  </si>
  <si>
    <t>得:De,Dei,</t>
  </si>
  <si>
    <t>的:De,Di,</t>
  </si>
  <si>
    <t>喋:Die,Zha,</t>
  </si>
  <si>
    <t>都:Dou,Du,</t>
  </si>
  <si>
    <t>囤:Dun,Tun,</t>
  </si>
  <si>
    <t>否:Fou,Pi,</t>
  </si>
  <si>
    <t>给:Gei,Ji,</t>
  </si>
  <si>
    <t>莞:Guan,Wan,</t>
  </si>
  <si>
    <t>稽:Ji,Qi,</t>
  </si>
  <si>
    <t>亟:Ji,Qi,</t>
  </si>
  <si>
    <t>觉:Jiao,Jue,</t>
  </si>
  <si>
    <t>解:Jie,Xie,</t>
  </si>
  <si>
    <t>劲:Jin,Jing,</t>
  </si>
  <si>
    <t>卡:Ka,Qia,</t>
  </si>
  <si>
    <t>壳:Ke,Qiao,</t>
  </si>
  <si>
    <t>勒:Le,Lei,</t>
  </si>
  <si>
    <t>了:Le,Liao,</t>
  </si>
  <si>
    <t>脉:Mai,Mo,</t>
  </si>
  <si>
    <t>蔓:Man,Wan,</t>
  </si>
  <si>
    <t>模:Mo,Mu,</t>
  </si>
  <si>
    <t>呢:Ne,Ni,</t>
  </si>
  <si>
    <t>尿:Niao,Sui,</t>
  </si>
  <si>
    <t>喏:Nuo,Re,</t>
  </si>
  <si>
    <t>茜:Qian,Xi,</t>
  </si>
  <si>
    <t>鞘:Qiao,Shao,</t>
  </si>
  <si>
    <t>塞:Sai,Se,</t>
  </si>
  <si>
    <t>色:Se,Shai,</t>
  </si>
  <si>
    <t>厦:Sha,Xia,</t>
  </si>
  <si>
    <t>莘:Shen,Xin,</t>
  </si>
  <si>
    <t>什:Shen,Shi,</t>
  </si>
  <si>
    <t>识:Shi,Zhi,</t>
  </si>
  <si>
    <t>属:Shu,Zhu,</t>
  </si>
  <si>
    <t>褪:Tui,Tun,</t>
  </si>
  <si>
    <t>尾:Wei,Yi,</t>
  </si>
  <si>
    <t>蔚:Wei,Yu,</t>
  </si>
  <si>
    <t>吁:Xu,Yu,</t>
  </si>
  <si>
    <t>钥:Yao,Yue,</t>
  </si>
  <si>
    <t>员:Yuan,Yun,</t>
  </si>
  <si>
    <t>拶:Za,Zan,</t>
  </si>
  <si>
    <t>咋:Za,Ze,Zha,</t>
  </si>
  <si>
    <t>爪:Zhao,Zhua,</t>
  </si>
  <si>
    <t>琢:Zhuo,Zuo,</t>
  </si>
  <si>
    <t>阿:A,E,</t>
  </si>
  <si>
    <t>拗:Ao,Niu,</t>
  </si>
  <si>
    <t>伯:Bai,Bo,</t>
  </si>
  <si>
    <t>膀:Bang,Pang,</t>
  </si>
  <si>
    <t>薄:Bao,Bo,</t>
  </si>
  <si>
    <t>剥:Bao,Bo,</t>
  </si>
  <si>
    <t>辟:Bi,Pi,</t>
  </si>
  <si>
    <t>屏:Bing,Ping,</t>
  </si>
  <si>
    <t>参:Can,Cen,Shen,</t>
  </si>
  <si>
    <t>颤:Chan,Zhan,</t>
  </si>
  <si>
    <t>朝:Chao,Zhao,</t>
  </si>
  <si>
    <t>称:Chen,Cheng,</t>
  </si>
  <si>
    <t>匙:Chi,Shi,</t>
  </si>
  <si>
    <t>重:Chong,Zhong,</t>
  </si>
  <si>
    <t>嘬:Chuai,Zuo,</t>
  </si>
  <si>
    <t>伺:Ci,Si,</t>
  </si>
  <si>
    <t>兹:Ci,Zi,</t>
  </si>
  <si>
    <t>攒:Cuan,Zan,</t>
  </si>
  <si>
    <t>撮:Cuo,Zuo,</t>
  </si>
  <si>
    <t>地:De,Di,</t>
  </si>
  <si>
    <t>调:Diao,Tiao,</t>
  </si>
  <si>
    <t>度:Du,Duo,</t>
  </si>
  <si>
    <t>驮:Duo,Tuo,</t>
  </si>
  <si>
    <t>哦:E,O,</t>
  </si>
  <si>
    <t>恶:E,Wu,</t>
  </si>
  <si>
    <t>番:Fan,Pan,</t>
  </si>
  <si>
    <t>脯:Fu,Pu,</t>
  </si>
  <si>
    <t>蛤:Ge,Ha,</t>
  </si>
  <si>
    <t>还:Hai,Huan,</t>
  </si>
  <si>
    <t>咳:Hai,Ke,</t>
  </si>
  <si>
    <t>行:Hang,Xing,</t>
  </si>
  <si>
    <t>巷:Hang,Xiang,</t>
  </si>
  <si>
    <t>吭:Hang,Keng,</t>
  </si>
  <si>
    <t>和:He,Huo,</t>
  </si>
  <si>
    <t>吓:He,Xia,</t>
  </si>
  <si>
    <t>会:Hui,Kuai,</t>
  </si>
  <si>
    <t>系:Ji,Xi,</t>
  </si>
  <si>
    <t>降:Jiang,Xiang,</t>
  </si>
  <si>
    <t>角:Jiao,Jue,</t>
  </si>
  <si>
    <t>校:Jiao,Xiao,</t>
  </si>
  <si>
    <t>圈:Juan,Quan,</t>
  </si>
  <si>
    <t>落:La,Lao,Luo,</t>
  </si>
  <si>
    <t>烙:Lao,Luo,</t>
  </si>
  <si>
    <t>络:Lao,Luo,</t>
  </si>
  <si>
    <t>乐:Le,Yue,</t>
  </si>
  <si>
    <t>弄:Long,Nong,</t>
  </si>
  <si>
    <t>露:Lou,Lu,</t>
  </si>
  <si>
    <t>抹:Ma,Mo,</t>
  </si>
  <si>
    <t>摩:Ma,Mo,</t>
  </si>
  <si>
    <t>没:Mei,Mo,</t>
  </si>
  <si>
    <t>迫:Pai,Po,</t>
  </si>
  <si>
    <t>胖:Pan,Pang,</t>
  </si>
  <si>
    <t>朴:Piao,Po,Pu,</t>
  </si>
  <si>
    <t>纤:Qian,Xian,</t>
  </si>
  <si>
    <t>慊:Qian,Qie,</t>
  </si>
  <si>
    <t>雀:Qiao,Que,</t>
  </si>
  <si>
    <t>亲:Qin,Qing,</t>
  </si>
  <si>
    <t>栅:Shan,Zha,</t>
  </si>
  <si>
    <t>苕:Shao,Tiao,</t>
  </si>
  <si>
    <t>折:She,Zhe,</t>
  </si>
  <si>
    <t>省:Sheng,Xing,</t>
  </si>
  <si>
    <t>似:Shi,Si,</t>
  </si>
  <si>
    <t>峙:Shi,Zhi,</t>
  </si>
  <si>
    <t>数:Shu,Shuo,</t>
  </si>
  <si>
    <t>术:Shu,Zhu,</t>
  </si>
  <si>
    <t>宿:Su,Xiu,</t>
  </si>
  <si>
    <t>缩:Su,Suo,</t>
  </si>
  <si>
    <t>拓:Ta,Tuo,</t>
  </si>
  <si>
    <t>尉:Wei,Yu,</t>
  </si>
  <si>
    <t>圩:Wei,Xu,</t>
  </si>
  <si>
    <t>削:Xiao,Xue,</t>
  </si>
  <si>
    <t>血:Xie,Xue,</t>
  </si>
  <si>
    <t>轧:Ya,Zha,</t>
  </si>
  <si>
    <t>殷:Yan,Yin,</t>
  </si>
  <si>
    <t>芫:Yan,Yuan,</t>
  </si>
  <si>
    <t>熨:Yu,Yun,</t>
  </si>
  <si>
    <t>扎:Za,Zha,</t>
  </si>
  <si>
    <t>择:Ze,Zhai,</t>
  </si>
  <si>
    <t>着:Zhao,Zhe,Zhuo,</t>
  </si>
  <si>
    <t>阿</t>
  </si>
  <si>
    <t>A,E,</t>
  </si>
  <si>
    <t>拗</t>
  </si>
  <si>
    <t>Ao,Niu,</t>
  </si>
  <si>
    <t>扒</t>
  </si>
  <si>
    <t>Ba,Pa,</t>
  </si>
  <si>
    <t>Bai,Bo,</t>
  </si>
  <si>
    <t>伯</t>
  </si>
  <si>
    <t>磅</t>
  </si>
  <si>
    <t>Bang,Pang,</t>
  </si>
  <si>
    <t>膀</t>
  </si>
  <si>
    <t>Bao,Pu,</t>
  </si>
  <si>
    <t>薄</t>
  </si>
  <si>
    <t>Bao,Bo,</t>
  </si>
  <si>
    <t>剥</t>
  </si>
  <si>
    <t>堡</t>
  </si>
  <si>
    <t>Bao,Bu,Pu,</t>
  </si>
  <si>
    <t>陂</t>
  </si>
  <si>
    <t>辟</t>
  </si>
  <si>
    <t>Bi,Pi,</t>
  </si>
  <si>
    <t>便</t>
  </si>
  <si>
    <t>Bian,Pian,</t>
  </si>
  <si>
    <t>扁</t>
  </si>
  <si>
    <t>屏</t>
  </si>
  <si>
    <t>Bing,Ping,</t>
  </si>
  <si>
    <t>泊</t>
  </si>
  <si>
    <t>Bo,Po,</t>
  </si>
  <si>
    <t>参</t>
  </si>
  <si>
    <t>Can,Cen,Shen,</t>
  </si>
  <si>
    <t>藏</t>
  </si>
  <si>
    <t>Cang,Zang,</t>
  </si>
  <si>
    <t>曾</t>
  </si>
  <si>
    <t>Ceng,Zeng,</t>
  </si>
  <si>
    <t>查</t>
  </si>
  <si>
    <t>Cha,Zha,</t>
  </si>
  <si>
    <t>差</t>
  </si>
  <si>
    <t>颤</t>
  </si>
  <si>
    <t>Chan,Zhan,</t>
  </si>
  <si>
    <t>单</t>
  </si>
  <si>
    <t>长</t>
  </si>
  <si>
    <t>Chang,Zhang,</t>
  </si>
  <si>
    <t>朝</t>
  </si>
  <si>
    <t>Chao,Zhao,</t>
  </si>
  <si>
    <t>车</t>
  </si>
  <si>
    <t>Che,Ju,</t>
  </si>
  <si>
    <t>称</t>
  </si>
  <si>
    <t>Chen,Cheng,</t>
  </si>
  <si>
    <t>澄</t>
  </si>
  <si>
    <t>Cheng,Deng,</t>
  </si>
  <si>
    <t>匙</t>
  </si>
  <si>
    <t>Chi,Shi,</t>
  </si>
  <si>
    <t>重</t>
  </si>
  <si>
    <t>Chong,Zhong,</t>
  </si>
  <si>
    <t>畜</t>
  </si>
  <si>
    <t>Chu,Xu,</t>
  </si>
  <si>
    <t>嘬</t>
  </si>
  <si>
    <t>Chuai,Zuo,</t>
  </si>
  <si>
    <t>传</t>
  </si>
  <si>
    <t>Chuan,Zhuan,</t>
  </si>
  <si>
    <t>伺</t>
  </si>
  <si>
    <t>Ci,Si,</t>
  </si>
  <si>
    <t>兹</t>
  </si>
  <si>
    <t>Ci,Zi,</t>
  </si>
  <si>
    <t>攒</t>
  </si>
  <si>
    <t>Cuan,Zan,</t>
  </si>
  <si>
    <t>撮</t>
  </si>
  <si>
    <t>Cuo,Zuo,</t>
  </si>
  <si>
    <t>弹</t>
  </si>
  <si>
    <t>Dan,Tan,</t>
  </si>
  <si>
    <t>Dan,Shan,</t>
  </si>
  <si>
    <t>Dao,Tao,</t>
  </si>
  <si>
    <t>叨</t>
  </si>
  <si>
    <t>的</t>
  </si>
  <si>
    <t>De,Di,</t>
  </si>
  <si>
    <t>地</t>
  </si>
  <si>
    <t>得</t>
  </si>
  <si>
    <t>De,Dei,</t>
  </si>
  <si>
    <t>Dian,Tian,</t>
  </si>
  <si>
    <t>调</t>
  </si>
  <si>
    <t>Diao,Tiao,</t>
  </si>
  <si>
    <t>喋</t>
  </si>
  <si>
    <t>Die,Zha,</t>
  </si>
  <si>
    <t>都</t>
  </si>
  <si>
    <t>Dou,Du,</t>
  </si>
  <si>
    <t>度</t>
  </si>
  <si>
    <t>Du,Duo,</t>
  </si>
  <si>
    <t>囤</t>
  </si>
  <si>
    <t>Dun,Tun,</t>
  </si>
  <si>
    <t>驮</t>
  </si>
  <si>
    <t>Duo,Tuo,</t>
  </si>
  <si>
    <t>哦</t>
  </si>
  <si>
    <t>E,O,</t>
  </si>
  <si>
    <t>恶</t>
  </si>
  <si>
    <t>E,Wu,</t>
  </si>
  <si>
    <t>番</t>
  </si>
  <si>
    <t>Fan,Pan,</t>
  </si>
  <si>
    <t>否</t>
  </si>
  <si>
    <t>Fou,Pi,</t>
  </si>
  <si>
    <t>脯</t>
  </si>
  <si>
    <t>Fu,Pu,</t>
  </si>
  <si>
    <t>咯</t>
  </si>
  <si>
    <t>蛤</t>
  </si>
  <si>
    <t>Ge,Ha,</t>
  </si>
  <si>
    <t>给</t>
  </si>
  <si>
    <t>Gei,Ji,</t>
  </si>
  <si>
    <t>莞</t>
  </si>
  <si>
    <t>Guan,Wan,</t>
  </si>
  <si>
    <t>还</t>
  </si>
  <si>
    <t>Hai,Huan,</t>
  </si>
  <si>
    <t>咳</t>
  </si>
  <si>
    <t>Hai,Ke,</t>
  </si>
  <si>
    <t>行</t>
  </si>
  <si>
    <t>Hang,Xing,</t>
  </si>
  <si>
    <t>巷</t>
  </si>
  <si>
    <t>Hang,Xiang,</t>
  </si>
  <si>
    <t>吭</t>
  </si>
  <si>
    <t>Hang,Keng,</t>
  </si>
  <si>
    <t>和</t>
  </si>
  <si>
    <t>He,Huo,</t>
  </si>
  <si>
    <t>吓</t>
  </si>
  <si>
    <t>He,Xia,</t>
  </si>
  <si>
    <t>会</t>
  </si>
  <si>
    <t>Hui,Kuai,</t>
  </si>
  <si>
    <t>系</t>
  </si>
  <si>
    <t>Ji,Xi,</t>
  </si>
  <si>
    <t>Ji,Qi,</t>
  </si>
  <si>
    <t>奇</t>
  </si>
  <si>
    <t>稽</t>
  </si>
  <si>
    <t>亟</t>
  </si>
  <si>
    <t>Jian,Qian,</t>
  </si>
  <si>
    <t>降</t>
  </si>
  <si>
    <t>Jiang,Xiang,</t>
  </si>
  <si>
    <t>Jiao,Jue,</t>
  </si>
  <si>
    <t>角</t>
  </si>
  <si>
    <t>觉</t>
  </si>
  <si>
    <t>校</t>
  </si>
  <si>
    <t>Jiao,Xiao,</t>
  </si>
  <si>
    <t>解</t>
  </si>
  <si>
    <t>Jie,Xie,</t>
  </si>
  <si>
    <t>劲</t>
  </si>
  <si>
    <t>Jin,Jing,</t>
  </si>
  <si>
    <t>圈</t>
  </si>
  <si>
    <t>Juan,Quan,</t>
  </si>
  <si>
    <t>卡</t>
  </si>
  <si>
    <t>Ka,Qia,</t>
  </si>
  <si>
    <t>壳</t>
  </si>
  <si>
    <t>Ke,Qiao,</t>
  </si>
  <si>
    <t>落</t>
  </si>
  <si>
    <t>La,Lao,Luo,</t>
  </si>
  <si>
    <t>烙</t>
  </si>
  <si>
    <t>Lao,Luo,</t>
  </si>
  <si>
    <t>络</t>
  </si>
  <si>
    <t>了</t>
  </si>
  <si>
    <t>Le,Liao,</t>
  </si>
  <si>
    <t>乐</t>
  </si>
  <si>
    <t>Le,Yue,</t>
  </si>
  <si>
    <t>勒</t>
  </si>
  <si>
    <t>Le,Lei,</t>
  </si>
  <si>
    <t>弄</t>
  </si>
  <si>
    <t>Long,Nong,</t>
  </si>
  <si>
    <t>露</t>
  </si>
  <si>
    <t>Lou,Lu,</t>
  </si>
  <si>
    <t>绿</t>
  </si>
  <si>
    <t>率</t>
  </si>
  <si>
    <t>抹</t>
  </si>
  <si>
    <t>Ma,Mo,</t>
  </si>
  <si>
    <t>摩</t>
  </si>
  <si>
    <t>埋</t>
  </si>
  <si>
    <t>Mai,Man,</t>
  </si>
  <si>
    <t>脉</t>
  </si>
  <si>
    <t>Mai,Mo,</t>
  </si>
  <si>
    <t>蔓</t>
  </si>
  <si>
    <t>Man,Wan,</t>
  </si>
  <si>
    <t>没</t>
  </si>
  <si>
    <t>Mei,Mo,</t>
  </si>
  <si>
    <t>模</t>
  </si>
  <si>
    <t>Mo,Mu,</t>
  </si>
  <si>
    <t>哪</t>
  </si>
  <si>
    <t>呢</t>
  </si>
  <si>
    <t>Ne,Ni,</t>
  </si>
  <si>
    <t>尿</t>
  </si>
  <si>
    <t>Niao,Sui,</t>
  </si>
  <si>
    <t>喏</t>
  </si>
  <si>
    <t>Nuo,Re,</t>
  </si>
  <si>
    <t>迫</t>
  </si>
  <si>
    <t>Pai,Po,</t>
  </si>
  <si>
    <t>胖</t>
  </si>
  <si>
    <t>Pan,Pang,</t>
  </si>
  <si>
    <t>朴</t>
  </si>
  <si>
    <t>Piao,Po,Pu,</t>
  </si>
  <si>
    <t>Qi,Xi,</t>
  </si>
  <si>
    <t>纤</t>
  </si>
  <si>
    <t>Qian,Xian,</t>
  </si>
  <si>
    <t>慊</t>
  </si>
  <si>
    <t>Qian,Qie,</t>
  </si>
  <si>
    <t>茜</t>
  </si>
  <si>
    <t>Qian,Xi,</t>
  </si>
  <si>
    <t>鞘</t>
  </si>
  <si>
    <t>Qiao,Shao,</t>
  </si>
  <si>
    <t>雀</t>
  </si>
  <si>
    <t>Qiao,Que,</t>
  </si>
  <si>
    <t>亲</t>
  </si>
  <si>
    <t>Qin,Qing,</t>
  </si>
  <si>
    <t>塞</t>
  </si>
  <si>
    <t>Sai,Se,</t>
  </si>
  <si>
    <t>色</t>
  </si>
  <si>
    <t>Se,Shai,</t>
  </si>
  <si>
    <t>厦</t>
  </si>
  <si>
    <t>Sha,Xia,</t>
  </si>
  <si>
    <t>栅</t>
  </si>
  <si>
    <t>Shan,Zha,</t>
  </si>
  <si>
    <t>苕</t>
  </si>
  <si>
    <t>Shao,Tiao,</t>
  </si>
  <si>
    <t>折</t>
  </si>
  <si>
    <t>She,Zhe,</t>
  </si>
  <si>
    <t>什</t>
  </si>
  <si>
    <t>Shen,Shi,</t>
  </si>
  <si>
    <t>莘</t>
  </si>
  <si>
    <t>Shen,Xin,</t>
  </si>
  <si>
    <t>省</t>
  </si>
  <si>
    <t>Sheng,Xing,</t>
  </si>
  <si>
    <t>识</t>
  </si>
  <si>
    <t>Shi,Zhi,</t>
  </si>
  <si>
    <t>似</t>
  </si>
  <si>
    <t>Shi,Si,</t>
  </si>
  <si>
    <t>峙</t>
  </si>
  <si>
    <t>数</t>
  </si>
  <si>
    <t>Shu,Shuo,</t>
  </si>
  <si>
    <t>属</t>
  </si>
  <si>
    <t>Shu,Zhu,</t>
  </si>
  <si>
    <t>术</t>
  </si>
  <si>
    <t>说</t>
  </si>
  <si>
    <t>宿</t>
  </si>
  <si>
    <t>Su,Xiu,</t>
  </si>
  <si>
    <t>缩</t>
  </si>
  <si>
    <t>Su,Suo,</t>
  </si>
  <si>
    <t>拓</t>
  </si>
  <si>
    <t>Ta,Tuo,</t>
  </si>
  <si>
    <t>褪</t>
  </si>
  <si>
    <t>Tui,Tun,</t>
  </si>
  <si>
    <t>尾</t>
  </si>
  <si>
    <t>Wei,Yi,</t>
  </si>
  <si>
    <t>蔚</t>
  </si>
  <si>
    <t>Wei,Yu,</t>
  </si>
  <si>
    <t>尉</t>
  </si>
  <si>
    <t>圩</t>
  </si>
  <si>
    <t>Wei,Xu,</t>
  </si>
  <si>
    <t>削</t>
  </si>
  <si>
    <t>Xiao,Xue,</t>
  </si>
  <si>
    <t>血</t>
  </si>
  <si>
    <t>Xie,Xue,</t>
  </si>
  <si>
    <t>吁</t>
  </si>
  <si>
    <t>Xu,Yu,</t>
  </si>
  <si>
    <t>轧</t>
  </si>
  <si>
    <t>Ya,Zha,</t>
  </si>
  <si>
    <t>殷</t>
  </si>
  <si>
    <t>Yan,Yin,</t>
  </si>
  <si>
    <t>芫</t>
  </si>
  <si>
    <t>Yan,Yuan,</t>
  </si>
  <si>
    <t>钥</t>
  </si>
  <si>
    <t>Yao,Yue,</t>
  </si>
  <si>
    <t>熨</t>
  </si>
  <si>
    <t>Yu,Yun,</t>
  </si>
  <si>
    <t>员</t>
  </si>
  <si>
    <t>Yuan,Yun,</t>
  </si>
  <si>
    <t>咋</t>
  </si>
  <si>
    <t>Za,Ze,Zha,</t>
  </si>
  <si>
    <t>扎</t>
  </si>
  <si>
    <t>Za,Zha,</t>
  </si>
  <si>
    <t>拶</t>
  </si>
  <si>
    <t>Za,Zan,</t>
  </si>
  <si>
    <t>择</t>
  </si>
  <si>
    <t>Ze,Zhai,</t>
  </si>
  <si>
    <t>着</t>
  </si>
  <si>
    <t>Zhao,Zhe,Zhuo,</t>
  </si>
  <si>
    <t>爪</t>
  </si>
  <si>
    <t>Zhao,Zhua,</t>
  </si>
  <si>
    <t>琢</t>
  </si>
  <si>
    <t>Zhuo,Zuo,</t>
  </si>
  <si>
    <t>Case "</t>
    <phoneticPr fontId="1" type="noConversion"/>
  </si>
  <si>
    <t>": pinyin = "</t>
    <phoneticPr fontId="1" type="noConversion"/>
  </si>
  <si>
    <t>"</t>
    <phoneticPr fontId="1" type="noConversion"/>
  </si>
  <si>
    <t>瀑:Bao,Pu,</t>
  </si>
  <si>
    <t>曝:Bao,Pu,</t>
  </si>
  <si>
    <t>魄:Bo,Po,Tuo,</t>
  </si>
  <si>
    <t>拆:Ca,Chai,</t>
  </si>
  <si>
    <t>侧:Ce,Zhai,</t>
  </si>
  <si>
    <t>差:Cha,Chai,</t>
  </si>
  <si>
    <t>喳:Cha,Zha,</t>
  </si>
  <si>
    <t>尺:Che,Chi,</t>
  </si>
  <si>
    <t>崇:Chong,Sui,</t>
  </si>
  <si>
    <t>氽:Cuan,Tun,</t>
  </si>
  <si>
    <t>单:Dan,Shan,</t>
  </si>
  <si>
    <t>佃:Dian,Tian,</t>
  </si>
  <si>
    <t>丁:Ding,Zheng,</t>
  </si>
  <si>
    <t>咯:Ge,Ka,</t>
  </si>
  <si>
    <t>唬:Hu,Xia,</t>
  </si>
  <si>
    <t>奇:Ji,Qi,</t>
  </si>
  <si>
    <t>浅:Jian,Qian,</t>
  </si>
  <si>
    <t>咀:Ju,Zui,</t>
  </si>
  <si>
    <t>克:Ke,Kei,</t>
  </si>
  <si>
    <t>肋:Le,Lei,</t>
  </si>
  <si>
    <t>绿:Lu,Luu,</t>
  </si>
  <si>
    <t>率:Luu,Shuai,</t>
  </si>
  <si>
    <t>么:Ma,Me,</t>
  </si>
  <si>
    <t>埋:Mai,Man,</t>
  </si>
  <si>
    <t>谋:Mo,Mou,</t>
  </si>
  <si>
    <t>哪:Na,Ne,Nei,</t>
  </si>
  <si>
    <t>那:Na,Nei,</t>
  </si>
  <si>
    <t>溺:Ni,Niao,</t>
  </si>
  <si>
    <t>粘:Nian,Zhan,</t>
  </si>
  <si>
    <t>陂:Pi,Po,</t>
  </si>
  <si>
    <t>栖:Qi,Xi,</t>
  </si>
  <si>
    <t>祗:Qi,Zhi,</t>
  </si>
  <si>
    <t>糁:San,Shen,</t>
  </si>
  <si>
    <t>谁:Shei,Shui,</t>
  </si>
  <si>
    <t>嘘:Shi,Xu,</t>
  </si>
  <si>
    <t>食:Shi,Si,</t>
  </si>
  <si>
    <t>螫:Shi,Zhe,</t>
  </si>
  <si>
    <t>熟:Shou,Shu,</t>
  </si>
  <si>
    <t>说:Shui,Shuo,</t>
  </si>
  <si>
    <t>忒:Te,Tui,</t>
  </si>
  <si>
    <t>僮:Tong,Zhuang,</t>
  </si>
  <si>
    <t>约:Yao,Yue,</t>
  </si>
  <si>
    <t>仔:Zai,Zi,</t>
  </si>
  <si>
    <t>奘:Zang,Zhuang,</t>
  </si>
  <si>
    <t>这:Zhe,Zhei,</t>
  </si>
  <si>
    <t>著:Zhu,Zhuo,</t>
  </si>
  <si>
    <t>赚:Zhuan,Zuan,</t>
  </si>
  <si>
    <t>瀑</t>
  </si>
  <si>
    <t>曝</t>
  </si>
  <si>
    <t>魄</t>
  </si>
  <si>
    <t>Bo,Po,Tuo,</t>
  </si>
  <si>
    <t>拆</t>
  </si>
  <si>
    <t>Ca,Chai,</t>
  </si>
  <si>
    <t>侧</t>
  </si>
  <si>
    <t>Ce,Zhai,</t>
  </si>
  <si>
    <t>Cha,Chai,</t>
  </si>
  <si>
    <t>喳</t>
  </si>
  <si>
    <t>尺</t>
  </si>
  <si>
    <t>Che,Chi,</t>
  </si>
  <si>
    <t>崇</t>
  </si>
  <si>
    <t>Chong,Sui,</t>
  </si>
  <si>
    <t>氽</t>
  </si>
  <si>
    <t>Cuan,Tun,</t>
  </si>
  <si>
    <t>佃</t>
  </si>
  <si>
    <t>丁</t>
  </si>
  <si>
    <t>Ding,Zheng,</t>
  </si>
  <si>
    <t>Ge,Ka,</t>
  </si>
  <si>
    <t>唬</t>
  </si>
  <si>
    <t>Hu,Xia,</t>
  </si>
  <si>
    <t>浅</t>
  </si>
  <si>
    <t>咀</t>
  </si>
  <si>
    <t>Ju,Zui,</t>
  </si>
  <si>
    <t>克</t>
  </si>
  <si>
    <t>Ke,Kei,</t>
  </si>
  <si>
    <t>肋</t>
  </si>
  <si>
    <t>Lu,Luu,</t>
  </si>
  <si>
    <t>Luu,Shuai,</t>
  </si>
  <si>
    <t>么</t>
  </si>
  <si>
    <t>Ma,Me,</t>
  </si>
  <si>
    <t>谋</t>
  </si>
  <si>
    <t>Mo,Mou,</t>
  </si>
  <si>
    <t>Na,Ne,Nei,</t>
  </si>
  <si>
    <t>那</t>
  </si>
  <si>
    <t>Na,Nei,</t>
  </si>
  <si>
    <t>溺</t>
  </si>
  <si>
    <t>Ni,Niao,</t>
  </si>
  <si>
    <t>粘</t>
  </si>
  <si>
    <t>Nian,Zhan,</t>
  </si>
  <si>
    <t>Pi,Po,</t>
  </si>
  <si>
    <t>栖</t>
  </si>
  <si>
    <t>祗</t>
  </si>
  <si>
    <t>Qi,Zhi,</t>
  </si>
  <si>
    <t>糁</t>
  </si>
  <si>
    <t>San,Shen,</t>
  </si>
  <si>
    <t>谁</t>
  </si>
  <si>
    <t>Shei,Shui,</t>
  </si>
  <si>
    <t>嘘</t>
  </si>
  <si>
    <t>Shi,Xu,</t>
  </si>
  <si>
    <t>食</t>
  </si>
  <si>
    <t>螫</t>
  </si>
  <si>
    <t>Shi,Zhe,</t>
  </si>
  <si>
    <t>熟</t>
  </si>
  <si>
    <t>Shou,Shu,</t>
  </si>
  <si>
    <t>Shui,Shuo,</t>
  </si>
  <si>
    <t>忒</t>
  </si>
  <si>
    <t>Te,Tui,</t>
  </si>
  <si>
    <t>僮</t>
  </si>
  <si>
    <t>Tong,Zhuang,</t>
  </si>
  <si>
    <t>约</t>
  </si>
  <si>
    <t>仔</t>
  </si>
  <si>
    <t>Zai,Zi,</t>
  </si>
  <si>
    <t>奘</t>
  </si>
  <si>
    <t>Zang,Zhuang,</t>
  </si>
  <si>
    <t>这</t>
  </si>
  <si>
    <t>Zhe,Zhei,</t>
  </si>
  <si>
    <t>著</t>
  </si>
  <si>
    <t>Zhu,Zhuo,</t>
  </si>
  <si>
    <t>赚</t>
  </si>
  <si>
    <t>Zhuan,Zuan,</t>
  </si>
  <si>
    <t>嘬</t>
    <phoneticPr fontId="1" type="noConversion"/>
  </si>
  <si>
    <t>Chi,</t>
    <phoneticPr fontId="1" type="noConversion"/>
  </si>
  <si>
    <t>Ding,</t>
    <phoneticPr fontId="1" type="noConversion"/>
  </si>
  <si>
    <t>Qi,</t>
    <phoneticPr fontId="1" type="noConversion"/>
  </si>
  <si>
    <t>Na,</t>
    <phoneticPr fontId="1" type="noConversion"/>
  </si>
  <si>
    <t>Se,</t>
    <phoneticPr fontId="1" type="noConversion"/>
  </si>
  <si>
    <t>栖</t>
    <phoneticPr fontId="1" type="noConversion"/>
  </si>
  <si>
    <t>Wei,</t>
    <phoneticPr fontId="1" type="noConversion"/>
  </si>
  <si>
    <t>螫</t>
    <phoneticPr fontId="1" type="noConversion"/>
  </si>
  <si>
    <t>琢</t>
    <phoneticPr fontId="1" type="noConversion"/>
  </si>
  <si>
    <t>仔</t>
    <phoneticPr fontId="1" type="noConversion"/>
  </si>
  <si>
    <t>钥</t>
    <phoneticPr fontId="1" type="noConversion"/>
  </si>
  <si>
    <t>Yao,</t>
    <phoneticPr fontId="1" type="noConversion"/>
  </si>
  <si>
    <t>说</t>
    <phoneticPr fontId="1" type="noConversion"/>
  </si>
  <si>
    <t>侧</t>
    <phoneticPr fontId="1" type="noConversion"/>
  </si>
  <si>
    <t>Ce,</t>
    <phoneticPr fontId="1" type="noConversion"/>
  </si>
  <si>
    <t>络</t>
    <phoneticPr fontId="1" type="noConversion"/>
  </si>
  <si>
    <t>Luo,</t>
    <phoneticPr fontId="1" type="noConversion"/>
  </si>
  <si>
    <t>烙</t>
    <phoneticPr fontId="1" type="noConversion"/>
  </si>
  <si>
    <t>Lao,</t>
    <phoneticPr fontId="1" type="noConversion"/>
  </si>
  <si>
    <t>肋</t>
    <phoneticPr fontId="1" type="noConversion"/>
  </si>
  <si>
    <t>Lei,</t>
    <phoneticPr fontId="1" type="noConversion"/>
  </si>
  <si>
    <t>溺</t>
    <phoneticPr fontId="1" type="noConversion"/>
  </si>
  <si>
    <t>Ni,</t>
    <phoneticPr fontId="1" type="noConversion"/>
  </si>
  <si>
    <t>识</t>
    <phoneticPr fontId="1" type="noConversion"/>
  </si>
  <si>
    <t>稽</t>
    <phoneticPr fontId="1" type="noConversion"/>
  </si>
  <si>
    <t>Ji,</t>
    <phoneticPr fontId="1" type="noConversion"/>
  </si>
  <si>
    <t>亟</t>
    <phoneticPr fontId="1" type="noConversion"/>
  </si>
  <si>
    <t>Ke,</t>
    <phoneticPr fontId="1" type="noConversion"/>
  </si>
  <si>
    <t>He,</t>
    <phoneticPr fontId="1" type="noConversion"/>
  </si>
  <si>
    <t>Chong,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</si>
</sst>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84"/>
  <sheetViews>
    <sheetView topLeftCell="A139" workbookViewId="0">
      <selection sqref="A1:A184"/>
    </sheetView>
  </sheetViews>
  <sheetFormatPr defaultRowHeight="13.5" x14ac:dyDescent="0.15"/>
  <sheetData>
    <row r="1" spans="1:1" x14ac:dyDescent="0.15">
      <c r="A1" t="s">
        <v>58</v>
      </c>
    </row>
    <row r="2" spans="1:1" x14ac:dyDescent="0.15">
      <c r="A2" t="s">
        <v>59</v>
      </c>
    </row>
    <row r="3" spans="1:1" x14ac:dyDescent="0.15">
      <c r="A3" t="s">
        <v>0</v>
      </c>
    </row>
    <row r="4" spans="1:1" x14ac:dyDescent="0.15">
      <c r="A4" t="s">
        <v>60</v>
      </c>
    </row>
    <row r="5" spans="1:1" x14ac:dyDescent="0.15">
      <c r="A5" t="s">
        <v>61</v>
      </c>
    </row>
    <row r="6" spans="1:1" x14ac:dyDescent="0.15">
      <c r="A6" t="s">
        <v>1</v>
      </c>
    </row>
    <row r="7" spans="1:1" x14ac:dyDescent="0.15">
      <c r="A7" t="s">
        <v>63</v>
      </c>
    </row>
    <row r="8" spans="1:1" x14ac:dyDescent="0.15">
      <c r="A8" t="s">
        <v>62</v>
      </c>
    </row>
    <row r="9" spans="1:1" x14ac:dyDescent="0.15">
      <c r="A9" t="s">
        <v>2</v>
      </c>
    </row>
    <row r="10" spans="1:1" x14ac:dyDescent="0.15">
      <c r="A10" t="s">
        <v>419</v>
      </c>
    </row>
    <row r="11" spans="1:1" x14ac:dyDescent="0.15">
      <c r="A11" t="s">
        <v>420</v>
      </c>
    </row>
    <row r="12" spans="1:1" x14ac:dyDescent="0.15">
      <c r="A12" t="s">
        <v>64</v>
      </c>
    </row>
    <row r="13" spans="1:1" x14ac:dyDescent="0.15">
      <c r="A13" t="s">
        <v>3</v>
      </c>
    </row>
    <row r="14" spans="1:1" x14ac:dyDescent="0.15">
      <c r="A14" t="s">
        <v>4</v>
      </c>
    </row>
    <row r="15" spans="1:1" x14ac:dyDescent="0.15">
      <c r="A15" t="s">
        <v>65</v>
      </c>
    </row>
    <row r="16" spans="1:1" x14ac:dyDescent="0.15">
      <c r="A16" t="s">
        <v>5</v>
      </c>
    </row>
    <row r="17" spans="1:1" x14ac:dyDescent="0.15">
      <c r="A17" t="s">
        <v>421</v>
      </c>
    </row>
    <row r="18" spans="1:1" x14ac:dyDescent="0.15">
      <c r="A18" t="s">
        <v>422</v>
      </c>
    </row>
    <row r="19" spans="1:1" x14ac:dyDescent="0.15">
      <c r="A19" t="s">
        <v>66</v>
      </c>
    </row>
    <row r="20" spans="1:1" x14ac:dyDescent="0.15">
      <c r="A20" t="s">
        <v>6</v>
      </c>
    </row>
    <row r="21" spans="1:1" x14ac:dyDescent="0.15">
      <c r="A21" t="s">
        <v>423</v>
      </c>
    </row>
    <row r="22" spans="1:1" x14ac:dyDescent="0.15">
      <c r="A22" t="s">
        <v>7</v>
      </c>
    </row>
    <row r="23" spans="1:1" x14ac:dyDescent="0.15">
      <c r="A23" t="s">
        <v>424</v>
      </c>
    </row>
    <row r="24" spans="1:1" x14ac:dyDescent="0.15">
      <c r="A24" t="s">
        <v>425</v>
      </c>
    </row>
    <row r="25" spans="1:1" x14ac:dyDescent="0.15">
      <c r="A25" t="s">
        <v>8</v>
      </c>
    </row>
    <row r="26" spans="1:1" x14ac:dyDescent="0.15">
      <c r="A26" t="s">
        <v>67</v>
      </c>
    </row>
    <row r="27" spans="1:1" x14ac:dyDescent="0.15">
      <c r="A27" t="s">
        <v>9</v>
      </c>
    </row>
    <row r="28" spans="1:1" x14ac:dyDescent="0.15">
      <c r="A28" t="s">
        <v>68</v>
      </c>
    </row>
    <row r="29" spans="1:1" x14ac:dyDescent="0.15">
      <c r="A29" t="s">
        <v>10</v>
      </c>
    </row>
    <row r="30" spans="1:1" x14ac:dyDescent="0.15">
      <c r="A30" t="s">
        <v>426</v>
      </c>
    </row>
    <row r="31" spans="1:1" x14ac:dyDescent="0.15">
      <c r="A31" t="s">
        <v>69</v>
      </c>
    </row>
    <row r="32" spans="1:1" x14ac:dyDescent="0.15">
      <c r="A32" t="s">
        <v>11</v>
      </c>
    </row>
    <row r="33" spans="1:1" x14ac:dyDescent="0.15">
      <c r="A33" t="s">
        <v>70</v>
      </c>
    </row>
    <row r="34" spans="1:1" x14ac:dyDescent="0.15">
      <c r="A34" t="s">
        <v>71</v>
      </c>
    </row>
    <row r="35" spans="1:1" x14ac:dyDescent="0.15">
      <c r="A35" t="s">
        <v>427</v>
      </c>
    </row>
    <row r="36" spans="1:1" x14ac:dyDescent="0.15">
      <c r="A36" t="s">
        <v>12</v>
      </c>
    </row>
    <row r="37" spans="1:1" x14ac:dyDescent="0.15">
      <c r="A37" t="s">
        <v>72</v>
      </c>
    </row>
    <row r="38" spans="1:1" x14ac:dyDescent="0.15">
      <c r="A38" t="s">
        <v>13</v>
      </c>
    </row>
    <row r="39" spans="1:1" x14ac:dyDescent="0.15">
      <c r="A39" t="s">
        <v>74</v>
      </c>
    </row>
    <row r="40" spans="1:1" x14ac:dyDescent="0.15">
      <c r="A40" t="s">
        <v>73</v>
      </c>
    </row>
    <row r="41" spans="1:1" x14ac:dyDescent="0.15">
      <c r="A41" t="s">
        <v>428</v>
      </c>
    </row>
    <row r="42" spans="1:1" x14ac:dyDescent="0.15">
      <c r="A42" t="s">
        <v>75</v>
      </c>
    </row>
    <row r="43" spans="1:1" x14ac:dyDescent="0.15">
      <c r="A43" t="s">
        <v>76</v>
      </c>
    </row>
    <row r="44" spans="1:1" x14ac:dyDescent="0.15">
      <c r="A44" t="s">
        <v>429</v>
      </c>
    </row>
    <row r="45" spans="1:1" x14ac:dyDescent="0.15">
      <c r="A45" t="s">
        <v>14</v>
      </c>
    </row>
    <row r="46" spans="1:1" x14ac:dyDescent="0.15">
      <c r="A46" t="s">
        <v>15</v>
      </c>
    </row>
    <row r="47" spans="1:1" x14ac:dyDescent="0.15">
      <c r="A47" t="s">
        <v>16</v>
      </c>
    </row>
    <row r="48" spans="1:1" x14ac:dyDescent="0.15">
      <c r="A48" t="s">
        <v>77</v>
      </c>
    </row>
    <row r="49" spans="1:1" x14ac:dyDescent="0.15">
      <c r="A49" t="s">
        <v>17</v>
      </c>
    </row>
    <row r="50" spans="1:1" x14ac:dyDescent="0.15">
      <c r="A50" t="s">
        <v>430</v>
      </c>
    </row>
    <row r="51" spans="1:1" x14ac:dyDescent="0.15">
      <c r="A51" t="s">
        <v>78</v>
      </c>
    </row>
    <row r="52" spans="1:1" x14ac:dyDescent="0.15">
      <c r="A52" t="s">
        <v>18</v>
      </c>
    </row>
    <row r="53" spans="1:1" x14ac:dyDescent="0.15">
      <c r="A53" t="s">
        <v>431</v>
      </c>
    </row>
    <row r="54" spans="1:1" x14ac:dyDescent="0.15">
      <c r="A54" t="s">
        <v>19</v>
      </c>
    </row>
    <row r="55" spans="1:1" x14ac:dyDescent="0.15">
      <c r="A55" t="s">
        <v>79</v>
      </c>
    </row>
    <row r="56" spans="1:1" x14ac:dyDescent="0.15">
      <c r="A56" t="s">
        <v>20</v>
      </c>
    </row>
    <row r="57" spans="1:1" x14ac:dyDescent="0.15">
      <c r="A57" t="s">
        <v>80</v>
      </c>
    </row>
    <row r="58" spans="1:1" x14ac:dyDescent="0.15">
      <c r="A58" t="s">
        <v>81</v>
      </c>
    </row>
    <row r="59" spans="1:1" x14ac:dyDescent="0.15">
      <c r="A59" t="s">
        <v>82</v>
      </c>
    </row>
    <row r="60" spans="1:1" x14ac:dyDescent="0.15">
      <c r="A60" t="s">
        <v>83</v>
      </c>
    </row>
    <row r="61" spans="1:1" x14ac:dyDescent="0.15">
      <c r="A61" t="s">
        <v>21</v>
      </c>
    </row>
    <row r="62" spans="1:1" x14ac:dyDescent="0.15">
      <c r="A62" t="s">
        <v>84</v>
      </c>
    </row>
    <row r="63" spans="1:1" x14ac:dyDescent="0.15">
      <c r="A63" t="s">
        <v>432</v>
      </c>
    </row>
    <row r="64" spans="1:1" x14ac:dyDescent="0.15">
      <c r="A64" t="s">
        <v>85</v>
      </c>
    </row>
    <row r="65" spans="1:1" x14ac:dyDescent="0.15">
      <c r="A65" t="s">
        <v>22</v>
      </c>
    </row>
    <row r="66" spans="1:1" x14ac:dyDescent="0.15">
      <c r="A66" t="s">
        <v>23</v>
      </c>
    </row>
    <row r="67" spans="1:1" x14ac:dyDescent="0.15">
      <c r="A67" t="s">
        <v>87</v>
      </c>
    </row>
    <row r="68" spans="1:1" x14ac:dyDescent="0.15">
      <c r="A68" t="s">
        <v>86</v>
      </c>
    </row>
    <row r="69" spans="1:1" x14ac:dyDescent="0.15">
      <c r="A69" t="s">
        <v>88</v>
      </c>
    </row>
    <row r="70" spans="1:1" x14ac:dyDescent="0.15">
      <c r="A70" t="s">
        <v>90</v>
      </c>
    </row>
    <row r="71" spans="1:1" x14ac:dyDescent="0.15">
      <c r="A71" t="s">
        <v>89</v>
      </c>
    </row>
    <row r="72" spans="1:1" x14ac:dyDescent="0.15">
      <c r="A72" t="s">
        <v>91</v>
      </c>
    </row>
    <row r="73" spans="1:1" x14ac:dyDescent="0.15">
      <c r="A73" t="s">
        <v>92</v>
      </c>
    </row>
    <row r="74" spans="1:1" x14ac:dyDescent="0.15">
      <c r="A74" t="s">
        <v>433</v>
      </c>
    </row>
    <row r="75" spans="1:1" x14ac:dyDescent="0.15">
      <c r="A75" t="s">
        <v>93</v>
      </c>
    </row>
    <row r="76" spans="1:1" x14ac:dyDescent="0.15">
      <c r="A76" t="s">
        <v>434</v>
      </c>
    </row>
    <row r="77" spans="1:1" x14ac:dyDescent="0.15">
      <c r="A77" t="s">
        <v>24</v>
      </c>
    </row>
    <row r="78" spans="1:1" x14ac:dyDescent="0.15">
      <c r="A78" t="s">
        <v>25</v>
      </c>
    </row>
    <row r="79" spans="1:1" x14ac:dyDescent="0.15">
      <c r="A79" t="s">
        <v>94</v>
      </c>
    </row>
    <row r="80" spans="1:1" x14ac:dyDescent="0.15">
      <c r="A80" t="s">
        <v>435</v>
      </c>
    </row>
    <row r="81" spans="1:1" x14ac:dyDescent="0.15">
      <c r="A81" t="s">
        <v>95</v>
      </c>
    </row>
    <row r="82" spans="1:1" x14ac:dyDescent="0.15">
      <c r="A82" t="s">
        <v>96</v>
      </c>
    </row>
    <row r="83" spans="1:1" x14ac:dyDescent="0.15">
      <c r="A83" t="s">
        <v>26</v>
      </c>
    </row>
    <row r="84" spans="1:1" x14ac:dyDescent="0.15">
      <c r="A84" t="s">
        <v>97</v>
      </c>
    </row>
    <row r="85" spans="1:1" x14ac:dyDescent="0.15">
      <c r="A85" t="s">
        <v>27</v>
      </c>
    </row>
    <row r="86" spans="1:1" x14ac:dyDescent="0.15">
      <c r="A86" t="s">
        <v>28</v>
      </c>
    </row>
    <row r="87" spans="1:1" x14ac:dyDescent="0.15">
      <c r="A87" t="s">
        <v>436</v>
      </c>
    </row>
    <row r="88" spans="1:1" x14ac:dyDescent="0.15">
      <c r="A88" t="s">
        <v>98</v>
      </c>
    </row>
    <row r="89" spans="1:1" x14ac:dyDescent="0.15">
      <c r="A89" t="s">
        <v>29</v>
      </c>
    </row>
    <row r="90" spans="1:1" x14ac:dyDescent="0.15">
      <c r="A90" t="s">
        <v>30</v>
      </c>
    </row>
    <row r="91" spans="1:1" x14ac:dyDescent="0.15">
      <c r="A91" t="s">
        <v>437</v>
      </c>
    </row>
    <row r="92" spans="1:1" x14ac:dyDescent="0.15">
      <c r="A92" t="s">
        <v>99</v>
      </c>
    </row>
    <row r="93" spans="1:1" x14ac:dyDescent="0.15">
      <c r="A93" t="s">
        <v>101</v>
      </c>
    </row>
    <row r="94" spans="1:1" x14ac:dyDescent="0.15">
      <c r="A94" t="s">
        <v>100</v>
      </c>
    </row>
    <row r="95" spans="1:1" x14ac:dyDescent="0.15">
      <c r="A95" t="s">
        <v>438</v>
      </c>
    </row>
    <row r="96" spans="1:1" x14ac:dyDescent="0.15">
      <c r="A96" t="s">
        <v>31</v>
      </c>
    </row>
    <row r="97" spans="1:1" x14ac:dyDescent="0.15">
      <c r="A97" t="s">
        <v>102</v>
      </c>
    </row>
    <row r="98" spans="1:1" x14ac:dyDescent="0.15">
      <c r="A98" t="s">
        <v>32</v>
      </c>
    </row>
    <row r="99" spans="1:1" x14ac:dyDescent="0.15">
      <c r="A99" t="s">
        <v>103</v>
      </c>
    </row>
    <row r="100" spans="1:1" x14ac:dyDescent="0.15">
      <c r="A100" t="s">
        <v>104</v>
      </c>
    </row>
    <row r="101" spans="1:1" x14ac:dyDescent="0.15">
      <c r="A101" t="s">
        <v>439</v>
      </c>
    </row>
    <row r="102" spans="1:1" x14ac:dyDescent="0.15">
      <c r="A102" t="s">
        <v>440</v>
      </c>
    </row>
    <row r="103" spans="1:1" x14ac:dyDescent="0.15">
      <c r="A103" t="s">
        <v>105</v>
      </c>
    </row>
    <row r="104" spans="1:1" x14ac:dyDescent="0.15">
      <c r="A104" t="s">
        <v>106</v>
      </c>
    </row>
    <row r="105" spans="1:1" x14ac:dyDescent="0.15">
      <c r="A105" t="s">
        <v>441</v>
      </c>
    </row>
    <row r="106" spans="1:1" x14ac:dyDescent="0.15">
      <c r="A106" t="s">
        <v>442</v>
      </c>
    </row>
    <row r="107" spans="1:1" x14ac:dyDescent="0.15">
      <c r="A107" t="s">
        <v>33</v>
      </c>
    </row>
    <row r="108" spans="1:1" x14ac:dyDescent="0.15">
      <c r="A108" t="s">
        <v>34</v>
      </c>
    </row>
    <row r="109" spans="1:1" x14ac:dyDescent="0.15">
      <c r="A109" t="s">
        <v>107</v>
      </c>
    </row>
    <row r="110" spans="1:1" x14ac:dyDescent="0.15">
      <c r="A110" t="s">
        <v>443</v>
      </c>
    </row>
    <row r="111" spans="1:1" x14ac:dyDescent="0.15">
      <c r="A111" t="s">
        <v>35</v>
      </c>
    </row>
    <row r="112" spans="1:1" x14ac:dyDescent="0.15">
      <c r="A112" t="s">
        <v>444</v>
      </c>
    </row>
    <row r="113" spans="1:1" x14ac:dyDescent="0.15">
      <c r="A113" t="s">
        <v>445</v>
      </c>
    </row>
    <row r="114" spans="1:1" x14ac:dyDescent="0.15">
      <c r="A114" t="s">
        <v>36</v>
      </c>
    </row>
    <row r="115" spans="1:1" x14ac:dyDescent="0.15">
      <c r="A115" t="s">
        <v>446</v>
      </c>
    </row>
    <row r="116" spans="1:1" x14ac:dyDescent="0.15">
      <c r="A116" t="s">
        <v>447</v>
      </c>
    </row>
    <row r="117" spans="1:1" x14ac:dyDescent="0.15">
      <c r="A117" t="s">
        <v>37</v>
      </c>
    </row>
    <row r="118" spans="1:1" x14ac:dyDescent="0.15">
      <c r="A118" t="s">
        <v>38</v>
      </c>
    </row>
    <row r="119" spans="1:1" x14ac:dyDescent="0.15">
      <c r="A119" t="s">
        <v>108</v>
      </c>
    </row>
    <row r="120" spans="1:1" x14ac:dyDescent="0.15">
      <c r="A120" t="s">
        <v>109</v>
      </c>
    </row>
    <row r="121" spans="1:1" x14ac:dyDescent="0.15">
      <c r="A121" t="s">
        <v>448</v>
      </c>
    </row>
    <row r="122" spans="1:1" x14ac:dyDescent="0.15">
      <c r="A122" t="s">
        <v>110</v>
      </c>
    </row>
    <row r="123" spans="1:1" x14ac:dyDescent="0.15">
      <c r="A123" t="s">
        <v>449</v>
      </c>
    </row>
    <row r="124" spans="1:1" x14ac:dyDescent="0.15">
      <c r="A124" t="s">
        <v>450</v>
      </c>
    </row>
    <row r="125" spans="1:1" x14ac:dyDescent="0.15">
      <c r="A125" t="s">
        <v>111</v>
      </c>
    </row>
    <row r="126" spans="1:1" x14ac:dyDescent="0.15">
      <c r="A126" t="s">
        <v>39</v>
      </c>
    </row>
    <row r="127" spans="1:1" x14ac:dyDescent="0.15">
      <c r="A127" t="s">
        <v>112</v>
      </c>
    </row>
    <row r="128" spans="1:1" x14ac:dyDescent="0.15">
      <c r="A128" t="s">
        <v>113</v>
      </c>
    </row>
    <row r="129" spans="1:1" x14ac:dyDescent="0.15">
      <c r="A129" t="s">
        <v>40</v>
      </c>
    </row>
    <row r="130" spans="1:1" x14ac:dyDescent="0.15">
      <c r="A130" t="s">
        <v>114</v>
      </c>
    </row>
    <row r="131" spans="1:1" x14ac:dyDescent="0.15">
      <c r="A131" t="s">
        <v>41</v>
      </c>
    </row>
    <row r="132" spans="1:1" x14ac:dyDescent="0.15">
      <c r="A132" t="s">
        <v>451</v>
      </c>
    </row>
    <row r="133" spans="1:1" x14ac:dyDescent="0.15">
      <c r="A133" t="s">
        <v>42</v>
      </c>
    </row>
    <row r="134" spans="1:1" x14ac:dyDescent="0.15">
      <c r="A134" t="s">
        <v>43</v>
      </c>
    </row>
    <row r="135" spans="1:1" x14ac:dyDescent="0.15">
      <c r="A135" t="s">
        <v>115</v>
      </c>
    </row>
    <row r="136" spans="1:1" x14ac:dyDescent="0.15">
      <c r="A136" t="s">
        <v>116</v>
      </c>
    </row>
    <row r="137" spans="1:1" x14ac:dyDescent="0.15">
      <c r="A137" t="s">
        <v>117</v>
      </c>
    </row>
    <row r="138" spans="1:1" x14ac:dyDescent="0.15">
      <c r="A138" t="s">
        <v>452</v>
      </c>
    </row>
    <row r="139" spans="1:1" x14ac:dyDescent="0.15">
      <c r="A139" t="s">
        <v>44</v>
      </c>
    </row>
    <row r="140" spans="1:1" x14ac:dyDescent="0.15">
      <c r="A140" t="s">
        <v>45</v>
      </c>
    </row>
    <row r="141" spans="1:1" x14ac:dyDescent="0.15">
      <c r="A141" t="s">
        <v>118</v>
      </c>
    </row>
    <row r="142" spans="1:1" x14ac:dyDescent="0.15">
      <c r="A142" t="s">
        <v>453</v>
      </c>
    </row>
    <row r="143" spans="1:1" x14ac:dyDescent="0.15">
      <c r="A143" t="s">
        <v>46</v>
      </c>
    </row>
    <row r="144" spans="1:1" x14ac:dyDescent="0.15">
      <c r="A144" t="s">
        <v>454</v>
      </c>
    </row>
    <row r="145" spans="1:1" x14ac:dyDescent="0.15">
      <c r="A145" t="s">
        <v>119</v>
      </c>
    </row>
    <row r="146" spans="1:1" x14ac:dyDescent="0.15">
      <c r="A146" t="s">
        <v>120</v>
      </c>
    </row>
    <row r="147" spans="1:1" x14ac:dyDescent="0.15">
      <c r="A147" t="s">
        <v>455</v>
      </c>
    </row>
    <row r="148" spans="1:1" x14ac:dyDescent="0.15">
      <c r="A148" t="s">
        <v>456</v>
      </c>
    </row>
    <row r="149" spans="1:1" x14ac:dyDescent="0.15">
      <c r="A149" t="s">
        <v>47</v>
      </c>
    </row>
    <row r="150" spans="1:1" x14ac:dyDescent="0.15">
      <c r="A150" t="s">
        <v>121</v>
      </c>
    </row>
    <row r="151" spans="1:1" x14ac:dyDescent="0.15">
      <c r="A151" t="s">
        <v>122</v>
      </c>
    </row>
    <row r="152" spans="1:1" x14ac:dyDescent="0.15">
      <c r="A152" t="s">
        <v>457</v>
      </c>
    </row>
    <row r="153" spans="1:1" x14ac:dyDescent="0.15">
      <c r="A153" t="s">
        <v>123</v>
      </c>
    </row>
    <row r="154" spans="1:1" x14ac:dyDescent="0.15">
      <c r="A154" t="s">
        <v>124</v>
      </c>
    </row>
    <row r="155" spans="1:1" x14ac:dyDescent="0.15">
      <c r="A155" t="s">
        <v>125</v>
      </c>
    </row>
    <row r="156" spans="1:1" x14ac:dyDescent="0.15">
      <c r="A156" t="s">
        <v>458</v>
      </c>
    </row>
    <row r="157" spans="1:1" x14ac:dyDescent="0.15">
      <c r="A157" t="s">
        <v>459</v>
      </c>
    </row>
    <row r="158" spans="1:1" x14ac:dyDescent="0.15">
      <c r="A158" t="s">
        <v>48</v>
      </c>
    </row>
    <row r="159" spans="1:1" x14ac:dyDescent="0.15">
      <c r="A159" t="s">
        <v>127</v>
      </c>
    </row>
    <row r="160" spans="1:1" x14ac:dyDescent="0.15">
      <c r="A160" t="s">
        <v>49</v>
      </c>
    </row>
    <row r="161" spans="1:1" x14ac:dyDescent="0.15">
      <c r="A161" t="s">
        <v>126</v>
      </c>
    </row>
    <row r="162" spans="1:1" x14ac:dyDescent="0.15">
      <c r="A162" t="s">
        <v>50</v>
      </c>
    </row>
    <row r="163" spans="1:1" x14ac:dyDescent="0.15">
      <c r="A163" t="s">
        <v>128</v>
      </c>
    </row>
    <row r="164" spans="1:1" x14ac:dyDescent="0.15">
      <c r="A164" t="s">
        <v>129</v>
      </c>
    </row>
    <row r="165" spans="1:1" x14ac:dyDescent="0.15">
      <c r="A165" t="s">
        <v>51</v>
      </c>
    </row>
    <row r="166" spans="1:1" x14ac:dyDescent="0.15">
      <c r="A166" t="s">
        <v>130</v>
      </c>
    </row>
    <row r="167" spans="1:1" x14ac:dyDescent="0.15">
      <c r="A167" t="s">
        <v>131</v>
      </c>
    </row>
    <row r="168" spans="1:1" x14ac:dyDescent="0.15">
      <c r="A168" t="s">
        <v>132</v>
      </c>
    </row>
    <row r="169" spans="1:1" x14ac:dyDescent="0.15">
      <c r="A169" t="s">
        <v>460</v>
      </c>
    </row>
    <row r="170" spans="1:1" x14ac:dyDescent="0.15">
      <c r="A170" t="s">
        <v>52</v>
      </c>
    </row>
    <row r="171" spans="1:1" x14ac:dyDescent="0.15">
      <c r="A171" t="s">
        <v>133</v>
      </c>
    </row>
    <row r="172" spans="1:1" x14ac:dyDescent="0.15">
      <c r="A172" t="s">
        <v>53</v>
      </c>
    </row>
    <row r="173" spans="1:1" x14ac:dyDescent="0.15">
      <c r="A173" t="s">
        <v>54</v>
      </c>
    </row>
    <row r="174" spans="1:1" x14ac:dyDescent="0.15">
      <c r="A174" t="s">
        <v>55</v>
      </c>
    </row>
    <row r="175" spans="1:1" x14ac:dyDescent="0.15">
      <c r="A175" t="s">
        <v>134</v>
      </c>
    </row>
    <row r="176" spans="1:1" x14ac:dyDescent="0.15">
      <c r="A176" t="s">
        <v>461</v>
      </c>
    </row>
    <row r="177" spans="1:1" x14ac:dyDescent="0.15">
      <c r="A177" t="s">
        <v>462</v>
      </c>
    </row>
    <row r="178" spans="1:1" x14ac:dyDescent="0.15">
      <c r="A178" t="s">
        <v>135</v>
      </c>
    </row>
    <row r="179" spans="1:1" x14ac:dyDescent="0.15">
      <c r="A179" t="s">
        <v>136</v>
      </c>
    </row>
    <row r="180" spans="1:1" x14ac:dyDescent="0.15">
      <c r="A180" t="s">
        <v>56</v>
      </c>
    </row>
    <row r="181" spans="1:1" x14ac:dyDescent="0.15">
      <c r="A181" t="s">
        <v>463</v>
      </c>
    </row>
    <row r="182" spans="1:1" x14ac:dyDescent="0.15">
      <c r="A182" t="s">
        <v>464</v>
      </c>
    </row>
    <row r="183" spans="1:1" x14ac:dyDescent="0.15">
      <c r="A183" t="s">
        <v>465</v>
      </c>
    </row>
    <row r="184" spans="1:1" x14ac:dyDescent="0.15">
      <c r="A184" t="s">
        <v>57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4"/>
  <sheetViews>
    <sheetView workbookViewId="0">
      <selection activeCell="K175" sqref="K175"/>
    </sheetView>
  </sheetViews>
  <sheetFormatPr defaultRowHeight="12" x14ac:dyDescent="0.15"/>
  <cols>
    <col min="1" max="1" width="7.5" style="1" customWidth="1"/>
    <col min="2" max="2" width="21.625" style="1" bestFit="1" customWidth="1"/>
    <col min="3" max="3" width="9" style="1"/>
    <col min="4" max="4" width="7.5" style="1" bestFit="1" customWidth="1"/>
    <col min="5" max="5" width="15" style="1" bestFit="1" customWidth="1"/>
    <col min="6" max="6" width="2.5" style="1" bestFit="1" customWidth="1"/>
    <col min="7" max="7" width="9" style="1"/>
    <col min="8" max="8" width="45.875" style="1" bestFit="1" customWidth="1"/>
    <col min="9" max="16384" width="9" style="1"/>
  </cols>
  <sheetData>
    <row r="1" spans="1:8" ht="13.5" x14ac:dyDescent="0.15">
      <c r="A1" t="s">
        <v>137</v>
      </c>
      <c r="B1" s="1" t="s">
        <v>138</v>
      </c>
      <c r="D1" s="1" t="s">
        <v>416</v>
      </c>
      <c r="E1" s="1" t="s">
        <v>417</v>
      </c>
      <c r="F1" s="1" t="s">
        <v>418</v>
      </c>
      <c r="H1" s="1" t="str">
        <f>D1&amp;A1&amp;E1&amp;B1&amp;F1</f>
        <v>Case "阿": pinyin = "A,E,"</v>
      </c>
    </row>
    <row r="2" spans="1:8" ht="13.5" x14ac:dyDescent="0.15">
      <c r="A2" t="s">
        <v>139</v>
      </c>
      <c r="B2" s="1" t="s">
        <v>140</v>
      </c>
      <c r="D2" s="1" t="s">
        <v>416</v>
      </c>
      <c r="E2" s="1" t="s">
        <v>417</v>
      </c>
      <c r="F2" s="1" t="s">
        <v>418</v>
      </c>
      <c r="H2" s="1" t="str">
        <f t="shared" ref="H2:H65" si="0">D2&amp;A2&amp;E2&amp;B2&amp;F2</f>
        <v>Case "拗": pinyin = "Ao,Niu,"</v>
      </c>
    </row>
    <row r="3" spans="1:8" ht="13.5" x14ac:dyDescent="0.15">
      <c r="A3" t="s">
        <v>141</v>
      </c>
      <c r="B3" s="1" t="s">
        <v>142</v>
      </c>
      <c r="D3" s="1" t="s">
        <v>416</v>
      </c>
      <c r="E3" s="1" t="s">
        <v>417</v>
      </c>
      <c r="F3" s="1" t="s">
        <v>418</v>
      </c>
      <c r="H3" s="1" t="str">
        <f t="shared" si="0"/>
        <v>Case "扒": pinyin = "Ba,Pa,"</v>
      </c>
    </row>
    <row r="4" spans="1:8" ht="13.5" x14ac:dyDescent="0.15">
      <c r="A4" t="s">
        <v>144</v>
      </c>
      <c r="B4" s="1" t="s">
        <v>143</v>
      </c>
      <c r="D4" s="1" t="s">
        <v>416</v>
      </c>
      <c r="E4" s="1" t="s">
        <v>417</v>
      </c>
      <c r="F4" s="1" t="s">
        <v>418</v>
      </c>
      <c r="H4" s="1" t="str">
        <f t="shared" si="0"/>
        <v>Case "伯": pinyin = "Bai,Bo,"</v>
      </c>
    </row>
    <row r="5" spans="1:8" ht="13.5" x14ac:dyDescent="0.15">
      <c r="A5" t="s">
        <v>147</v>
      </c>
      <c r="B5" s="1" t="s">
        <v>146</v>
      </c>
      <c r="D5" s="1" t="s">
        <v>416</v>
      </c>
      <c r="E5" s="1" t="s">
        <v>417</v>
      </c>
      <c r="F5" s="1" t="s">
        <v>418</v>
      </c>
      <c r="H5" s="1" t="str">
        <f t="shared" si="0"/>
        <v>Case "膀": pinyin = "Bang,Pang,"</v>
      </c>
    </row>
    <row r="6" spans="1:8" ht="13.5" x14ac:dyDescent="0.15">
      <c r="A6" t="s">
        <v>145</v>
      </c>
      <c r="B6" s="1" t="s">
        <v>146</v>
      </c>
      <c r="D6" s="1" t="s">
        <v>416</v>
      </c>
      <c r="E6" s="1" t="s">
        <v>417</v>
      </c>
      <c r="F6" s="1" t="s">
        <v>418</v>
      </c>
      <c r="H6" s="1" t="str">
        <f t="shared" si="0"/>
        <v>Case "磅": pinyin = "Bang,Pang,"</v>
      </c>
    </row>
    <row r="7" spans="1:8" ht="13.5" x14ac:dyDescent="0.15">
      <c r="A7" t="s">
        <v>151</v>
      </c>
      <c r="B7" s="1" t="s">
        <v>150</v>
      </c>
      <c r="D7" s="1" t="s">
        <v>416</v>
      </c>
      <c r="E7" s="1" t="s">
        <v>417</v>
      </c>
      <c r="F7" s="1" t="s">
        <v>418</v>
      </c>
      <c r="H7" s="1" t="str">
        <f t="shared" si="0"/>
        <v>Case "剥": pinyin = "Bao,Bo,"</v>
      </c>
    </row>
    <row r="8" spans="1:8" ht="13.5" x14ac:dyDescent="0.15">
      <c r="A8" t="s">
        <v>149</v>
      </c>
      <c r="B8" s="1" t="s">
        <v>150</v>
      </c>
      <c r="D8" s="1" t="s">
        <v>416</v>
      </c>
      <c r="E8" s="1" t="s">
        <v>417</v>
      </c>
      <c r="F8" s="1" t="s">
        <v>418</v>
      </c>
      <c r="H8" s="1" t="str">
        <f t="shared" si="0"/>
        <v>Case "薄": pinyin = "Bao,Bo,"</v>
      </c>
    </row>
    <row r="9" spans="1:8" ht="13.5" x14ac:dyDescent="0.15">
      <c r="A9" t="s">
        <v>152</v>
      </c>
      <c r="B9" s="1" t="s">
        <v>153</v>
      </c>
      <c r="D9" s="1" t="s">
        <v>416</v>
      </c>
      <c r="E9" s="1" t="s">
        <v>417</v>
      </c>
      <c r="F9" s="1" t="s">
        <v>418</v>
      </c>
      <c r="H9" s="1" t="str">
        <f t="shared" si="0"/>
        <v>Case "堡": pinyin = "Bao,Bu,Pu,"</v>
      </c>
    </row>
    <row r="10" spans="1:8" ht="13.5" x14ac:dyDescent="0.15">
      <c r="A10" t="s">
        <v>466</v>
      </c>
      <c r="B10" s="1" t="s">
        <v>148</v>
      </c>
      <c r="D10" s="1" t="s">
        <v>416</v>
      </c>
      <c r="E10" s="1" t="s">
        <v>417</v>
      </c>
      <c r="F10" s="1" t="s">
        <v>418</v>
      </c>
      <c r="H10" s="1" t="str">
        <f t="shared" si="0"/>
        <v>Case "瀑": pinyin = "Bao,Pu,"</v>
      </c>
    </row>
    <row r="11" spans="1:8" ht="13.5" x14ac:dyDescent="0.15">
      <c r="A11" t="s">
        <v>467</v>
      </c>
      <c r="B11" s="1" t="s">
        <v>148</v>
      </c>
      <c r="D11" s="1" t="s">
        <v>416</v>
      </c>
      <c r="E11" s="1" t="s">
        <v>417</v>
      </c>
      <c r="F11" s="1" t="s">
        <v>418</v>
      </c>
      <c r="H11" s="1" t="str">
        <f t="shared" si="0"/>
        <v>Case "曝": pinyin = "Bao,Pu,"</v>
      </c>
    </row>
    <row r="12" spans="1:8" ht="13.5" x14ac:dyDescent="0.15">
      <c r="A12" t="s">
        <v>155</v>
      </c>
      <c r="B12" s="1" t="s">
        <v>156</v>
      </c>
      <c r="D12" s="1" t="s">
        <v>416</v>
      </c>
      <c r="E12" s="1" t="s">
        <v>417</v>
      </c>
      <c r="F12" s="1" t="s">
        <v>418</v>
      </c>
      <c r="H12" s="1" t="str">
        <f t="shared" si="0"/>
        <v>Case "辟": pinyin = "Bi,Pi,"</v>
      </c>
    </row>
    <row r="13" spans="1:8" ht="13.5" x14ac:dyDescent="0.15">
      <c r="A13" t="s">
        <v>159</v>
      </c>
      <c r="B13" s="1" t="s">
        <v>158</v>
      </c>
      <c r="D13" s="1" t="s">
        <v>416</v>
      </c>
      <c r="E13" s="1" t="s">
        <v>417</v>
      </c>
      <c r="F13" s="1" t="s">
        <v>418</v>
      </c>
      <c r="H13" s="1" t="str">
        <f t="shared" si="0"/>
        <v>Case "扁": pinyin = "Bian,Pian,"</v>
      </c>
    </row>
    <row r="14" spans="1:8" ht="13.5" x14ac:dyDescent="0.15">
      <c r="A14" t="s">
        <v>157</v>
      </c>
      <c r="B14" s="1" t="s">
        <v>158</v>
      </c>
      <c r="D14" s="1" t="s">
        <v>416</v>
      </c>
      <c r="E14" s="1" t="s">
        <v>417</v>
      </c>
      <c r="F14" s="1" t="s">
        <v>418</v>
      </c>
      <c r="H14" s="1" t="str">
        <f t="shared" si="0"/>
        <v>Case "便": pinyin = "Bian,Pian,"</v>
      </c>
    </row>
    <row r="15" spans="1:8" ht="13.5" x14ac:dyDescent="0.15">
      <c r="A15" t="s">
        <v>160</v>
      </c>
      <c r="B15" s="1" t="s">
        <v>161</v>
      </c>
      <c r="D15" s="1" t="s">
        <v>416</v>
      </c>
      <c r="E15" s="1" t="s">
        <v>417</v>
      </c>
      <c r="F15" s="1" t="s">
        <v>418</v>
      </c>
      <c r="H15" s="1" t="str">
        <f t="shared" si="0"/>
        <v>Case "屏": pinyin = "Bing,Ping,"</v>
      </c>
    </row>
    <row r="16" spans="1:8" ht="13.5" x14ac:dyDescent="0.15">
      <c r="A16" t="s">
        <v>162</v>
      </c>
      <c r="B16" s="1" t="s">
        <v>163</v>
      </c>
      <c r="D16" s="1" t="s">
        <v>416</v>
      </c>
      <c r="E16" s="1" t="s">
        <v>417</v>
      </c>
      <c r="F16" s="1" t="s">
        <v>418</v>
      </c>
      <c r="H16" s="1" t="str">
        <f t="shared" si="0"/>
        <v>Case "泊": pinyin = "Bo,Po,"</v>
      </c>
    </row>
    <row r="17" spans="1:8" ht="13.5" x14ac:dyDescent="0.15">
      <c r="A17" t="s">
        <v>468</v>
      </c>
      <c r="B17" s="1" t="s">
        <v>469</v>
      </c>
      <c r="D17" s="1" t="s">
        <v>416</v>
      </c>
      <c r="E17" s="1" t="s">
        <v>417</v>
      </c>
      <c r="F17" s="1" t="s">
        <v>418</v>
      </c>
      <c r="H17" s="1" t="str">
        <f t="shared" si="0"/>
        <v>Case "魄": pinyin = "Bo,Po,Tuo,"</v>
      </c>
    </row>
    <row r="18" spans="1:8" ht="13.5" x14ac:dyDescent="0.15">
      <c r="A18" t="s">
        <v>470</v>
      </c>
      <c r="B18" s="1" t="s">
        <v>471</v>
      </c>
      <c r="D18" s="1" t="s">
        <v>416</v>
      </c>
      <c r="E18" s="1" t="s">
        <v>417</v>
      </c>
      <c r="F18" s="1" t="s">
        <v>418</v>
      </c>
      <c r="H18" s="1" t="str">
        <f t="shared" si="0"/>
        <v>Case "拆": pinyin = "Ca,Chai,"</v>
      </c>
    </row>
    <row r="19" spans="1:8" ht="13.5" x14ac:dyDescent="0.15">
      <c r="A19" t="s">
        <v>164</v>
      </c>
      <c r="B19" s="1" t="s">
        <v>165</v>
      </c>
      <c r="D19" s="1" t="s">
        <v>416</v>
      </c>
      <c r="E19" s="1" t="s">
        <v>417</v>
      </c>
      <c r="F19" s="1" t="s">
        <v>418</v>
      </c>
      <c r="H19" s="1" t="str">
        <f t="shared" si="0"/>
        <v>Case "参": pinyin = "Can,Cen,Shen,"</v>
      </c>
    </row>
    <row r="20" spans="1:8" ht="13.5" x14ac:dyDescent="0.15">
      <c r="A20" t="s">
        <v>166</v>
      </c>
      <c r="B20" s="1" t="s">
        <v>167</v>
      </c>
      <c r="D20" s="1" t="s">
        <v>416</v>
      </c>
      <c r="E20" s="1" t="s">
        <v>417</v>
      </c>
      <c r="F20" s="1" t="s">
        <v>418</v>
      </c>
      <c r="H20" s="1" t="str">
        <f t="shared" si="0"/>
        <v>Case "藏": pinyin = "Cang,Zang,"</v>
      </c>
    </row>
    <row r="21" spans="1:8" ht="13.5" x14ac:dyDescent="0.15">
      <c r="A21" t="s">
        <v>472</v>
      </c>
      <c r="B21" s="1" t="s">
        <v>473</v>
      </c>
      <c r="D21" s="1" t="s">
        <v>416</v>
      </c>
      <c r="E21" s="1" t="s">
        <v>417</v>
      </c>
      <c r="F21" s="1" t="s">
        <v>418</v>
      </c>
      <c r="H21" s="1" t="str">
        <f t="shared" si="0"/>
        <v>Case "侧": pinyin = "Ce,Zhai,"</v>
      </c>
    </row>
    <row r="22" spans="1:8" ht="13.5" x14ac:dyDescent="0.15">
      <c r="A22" t="s">
        <v>168</v>
      </c>
      <c r="B22" s="1" t="s">
        <v>169</v>
      </c>
      <c r="D22" s="1" t="s">
        <v>416</v>
      </c>
      <c r="E22" s="1" t="s">
        <v>417</v>
      </c>
      <c r="F22" s="1" t="s">
        <v>418</v>
      </c>
      <c r="H22" s="1" t="str">
        <f t="shared" si="0"/>
        <v>Case "曾": pinyin = "Ceng,Zeng,"</v>
      </c>
    </row>
    <row r="23" spans="1:8" ht="13.5" x14ac:dyDescent="0.15">
      <c r="A23" t="s">
        <v>172</v>
      </c>
      <c r="B23" s="1" t="s">
        <v>474</v>
      </c>
      <c r="D23" s="1" t="s">
        <v>416</v>
      </c>
      <c r="E23" s="1" t="s">
        <v>417</v>
      </c>
      <c r="F23" s="1" t="s">
        <v>418</v>
      </c>
      <c r="H23" s="1" t="str">
        <f t="shared" si="0"/>
        <v>Case "差": pinyin = "Cha,Chai,"</v>
      </c>
    </row>
    <row r="24" spans="1:8" ht="13.5" x14ac:dyDescent="0.15">
      <c r="A24" t="s">
        <v>475</v>
      </c>
      <c r="B24" s="1" t="s">
        <v>171</v>
      </c>
      <c r="D24" s="1" t="s">
        <v>416</v>
      </c>
      <c r="E24" s="1" t="s">
        <v>417</v>
      </c>
      <c r="F24" s="1" t="s">
        <v>418</v>
      </c>
      <c r="H24" s="1" t="str">
        <f t="shared" si="0"/>
        <v>Case "喳": pinyin = "Cha,Zha,"</v>
      </c>
    </row>
    <row r="25" spans="1:8" ht="13.5" x14ac:dyDescent="0.15">
      <c r="A25" t="s">
        <v>170</v>
      </c>
      <c r="B25" s="1" t="s">
        <v>171</v>
      </c>
      <c r="D25" s="1" t="s">
        <v>416</v>
      </c>
      <c r="E25" s="1" t="s">
        <v>417</v>
      </c>
      <c r="F25" s="1" t="s">
        <v>418</v>
      </c>
      <c r="H25" s="1" t="str">
        <f t="shared" si="0"/>
        <v>Case "查": pinyin = "Cha,Zha,"</v>
      </c>
    </row>
    <row r="26" spans="1:8" ht="13.5" x14ac:dyDescent="0.15">
      <c r="A26" t="s">
        <v>173</v>
      </c>
      <c r="B26" s="1" t="s">
        <v>174</v>
      </c>
      <c r="D26" s="1" t="s">
        <v>416</v>
      </c>
      <c r="E26" s="1" t="s">
        <v>417</v>
      </c>
      <c r="F26" s="1" t="s">
        <v>418</v>
      </c>
      <c r="H26" s="1" t="str">
        <f t="shared" si="0"/>
        <v>Case "颤": pinyin = "Chan,Zhan,"</v>
      </c>
    </row>
    <row r="27" spans="1:8" ht="13.5" x14ac:dyDescent="0.15">
      <c r="A27" t="s">
        <v>176</v>
      </c>
      <c r="B27" s="1" t="s">
        <v>177</v>
      </c>
      <c r="D27" s="1" t="s">
        <v>416</v>
      </c>
      <c r="E27" s="1" t="s">
        <v>417</v>
      </c>
      <c r="F27" s="1" t="s">
        <v>418</v>
      </c>
      <c r="H27" s="1" t="str">
        <f t="shared" si="0"/>
        <v>Case "长": pinyin = "Chang,Zhang,"</v>
      </c>
    </row>
    <row r="28" spans="1:8" ht="13.5" x14ac:dyDescent="0.15">
      <c r="A28" t="s">
        <v>178</v>
      </c>
      <c r="B28" s="1" t="s">
        <v>179</v>
      </c>
      <c r="D28" s="1" t="s">
        <v>416</v>
      </c>
      <c r="E28" s="1" t="s">
        <v>417</v>
      </c>
      <c r="F28" s="1" t="s">
        <v>418</v>
      </c>
      <c r="H28" s="1" t="str">
        <f t="shared" si="0"/>
        <v>Case "朝": pinyin = "Chao,Zhao,"</v>
      </c>
    </row>
    <row r="29" spans="1:8" ht="13.5" x14ac:dyDescent="0.15">
      <c r="A29" t="s">
        <v>180</v>
      </c>
      <c r="B29" s="1" t="s">
        <v>181</v>
      </c>
      <c r="D29" s="1" t="s">
        <v>416</v>
      </c>
      <c r="E29" s="1" t="s">
        <v>417</v>
      </c>
      <c r="F29" s="1" t="s">
        <v>418</v>
      </c>
      <c r="H29" s="1" t="str">
        <f t="shared" si="0"/>
        <v>Case "车": pinyin = "Che,Ju,"</v>
      </c>
    </row>
    <row r="30" spans="1:8" ht="13.5" x14ac:dyDescent="0.15">
      <c r="A30" t="s">
        <v>476</v>
      </c>
      <c r="B30" s="1" t="s">
        <v>477</v>
      </c>
      <c r="D30" s="1" t="s">
        <v>416</v>
      </c>
      <c r="E30" s="1" t="s">
        <v>417</v>
      </c>
      <c r="F30" s="1" t="s">
        <v>418</v>
      </c>
      <c r="H30" s="1" t="str">
        <f t="shared" si="0"/>
        <v>Case "尺": pinyin = "Che,Chi,"</v>
      </c>
    </row>
    <row r="31" spans="1:8" ht="13.5" x14ac:dyDescent="0.15">
      <c r="A31" t="s">
        <v>182</v>
      </c>
      <c r="B31" s="1" t="s">
        <v>183</v>
      </c>
      <c r="D31" s="1" t="s">
        <v>416</v>
      </c>
      <c r="E31" s="1" t="s">
        <v>417</v>
      </c>
      <c r="F31" s="1" t="s">
        <v>418</v>
      </c>
      <c r="H31" s="1" t="str">
        <f t="shared" si="0"/>
        <v>Case "称": pinyin = "Chen,Cheng,"</v>
      </c>
    </row>
    <row r="32" spans="1:8" ht="13.5" x14ac:dyDescent="0.15">
      <c r="A32" t="s">
        <v>184</v>
      </c>
      <c r="B32" s="1" t="s">
        <v>185</v>
      </c>
      <c r="D32" s="1" t="s">
        <v>416</v>
      </c>
      <c r="E32" s="1" t="s">
        <v>417</v>
      </c>
      <c r="F32" s="1" t="s">
        <v>418</v>
      </c>
      <c r="H32" s="1" t="str">
        <f t="shared" si="0"/>
        <v>Case "澄": pinyin = "Cheng,Deng,"</v>
      </c>
    </row>
    <row r="33" spans="1:8" ht="13.5" x14ac:dyDescent="0.15">
      <c r="A33" t="s">
        <v>186</v>
      </c>
      <c r="B33" s="1" t="s">
        <v>187</v>
      </c>
      <c r="D33" s="1" t="s">
        <v>416</v>
      </c>
      <c r="E33" s="1" t="s">
        <v>417</v>
      </c>
      <c r="F33" s="1" t="s">
        <v>418</v>
      </c>
      <c r="H33" s="1" t="str">
        <f t="shared" si="0"/>
        <v>Case "匙": pinyin = "Chi,Shi,"</v>
      </c>
    </row>
    <row r="34" spans="1:8" ht="13.5" x14ac:dyDescent="0.15">
      <c r="A34" t="s">
        <v>188</v>
      </c>
      <c r="B34" s="1" t="s">
        <v>189</v>
      </c>
      <c r="D34" s="1" t="s">
        <v>416</v>
      </c>
      <c r="E34" s="1" t="s">
        <v>417</v>
      </c>
      <c r="F34" s="1" t="s">
        <v>418</v>
      </c>
      <c r="H34" s="1" t="str">
        <f t="shared" si="0"/>
        <v>Case "重": pinyin = "Chong,Zhong,"</v>
      </c>
    </row>
    <row r="35" spans="1:8" ht="13.5" x14ac:dyDescent="0.15">
      <c r="A35" t="s">
        <v>478</v>
      </c>
      <c r="B35" s="1" t="s">
        <v>479</v>
      </c>
      <c r="D35" s="1" t="s">
        <v>416</v>
      </c>
      <c r="E35" s="1" t="s">
        <v>417</v>
      </c>
      <c r="F35" s="1" t="s">
        <v>418</v>
      </c>
      <c r="H35" s="1" t="str">
        <f t="shared" si="0"/>
        <v>Case "崇": pinyin = "Chong,Sui,"</v>
      </c>
    </row>
    <row r="36" spans="1:8" ht="13.5" x14ac:dyDescent="0.15">
      <c r="A36" t="s">
        <v>190</v>
      </c>
      <c r="B36" s="1" t="s">
        <v>191</v>
      </c>
      <c r="D36" s="1" t="s">
        <v>416</v>
      </c>
      <c r="E36" s="1" t="s">
        <v>417</v>
      </c>
      <c r="F36" s="1" t="s">
        <v>418</v>
      </c>
      <c r="H36" s="1" t="str">
        <f t="shared" si="0"/>
        <v>Case "畜": pinyin = "Chu,Xu,"</v>
      </c>
    </row>
    <row r="37" spans="1:8" ht="13.5" x14ac:dyDescent="0.15">
      <c r="A37" t="s">
        <v>192</v>
      </c>
      <c r="B37" s="1" t="s">
        <v>193</v>
      </c>
      <c r="D37" s="1" t="s">
        <v>416</v>
      </c>
      <c r="E37" s="1" t="s">
        <v>417</v>
      </c>
      <c r="F37" s="1" t="s">
        <v>418</v>
      </c>
      <c r="H37" s="1" t="str">
        <f t="shared" si="0"/>
        <v>Case "嘬": pinyin = "Chuai,Zuo,"</v>
      </c>
    </row>
    <row r="38" spans="1:8" ht="13.5" x14ac:dyDescent="0.15">
      <c r="A38" t="s">
        <v>194</v>
      </c>
      <c r="B38" s="1" t="s">
        <v>195</v>
      </c>
      <c r="D38" s="1" t="s">
        <v>416</v>
      </c>
      <c r="E38" s="1" t="s">
        <v>417</v>
      </c>
      <c r="F38" s="1" t="s">
        <v>418</v>
      </c>
      <c r="H38" s="1" t="str">
        <f t="shared" si="0"/>
        <v>Case "传": pinyin = "Chuan,Zhuan,"</v>
      </c>
    </row>
    <row r="39" spans="1:8" ht="13.5" x14ac:dyDescent="0.15">
      <c r="A39" t="s">
        <v>198</v>
      </c>
      <c r="B39" s="1" t="s">
        <v>199</v>
      </c>
      <c r="D39" s="1" t="s">
        <v>416</v>
      </c>
      <c r="E39" s="1" t="s">
        <v>417</v>
      </c>
      <c r="F39" s="1" t="s">
        <v>418</v>
      </c>
      <c r="H39" s="1" t="str">
        <f t="shared" si="0"/>
        <v>Case "兹": pinyin = "Ci,Zi,"</v>
      </c>
    </row>
    <row r="40" spans="1:8" ht="13.5" x14ac:dyDescent="0.15">
      <c r="A40" t="s">
        <v>196</v>
      </c>
      <c r="B40" s="1" t="s">
        <v>197</v>
      </c>
      <c r="D40" s="1" t="s">
        <v>416</v>
      </c>
      <c r="E40" s="1" t="s">
        <v>417</v>
      </c>
      <c r="F40" s="1" t="s">
        <v>418</v>
      </c>
      <c r="H40" s="1" t="str">
        <f t="shared" si="0"/>
        <v>Case "伺": pinyin = "Ci,Si,"</v>
      </c>
    </row>
    <row r="41" spans="1:8" ht="13.5" x14ac:dyDescent="0.15">
      <c r="A41" t="s">
        <v>480</v>
      </c>
      <c r="B41" s="1" t="s">
        <v>481</v>
      </c>
      <c r="D41" s="1" t="s">
        <v>416</v>
      </c>
      <c r="E41" s="1" t="s">
        <v>417</v>
      </c>
      <c r="F41" s="1" t="s">
        <v>418</v>
      </c>
      <c r="H41" s="1" t="str">
        <f t="shared" si="0"/>
        <v>Case "氽": pinyin = "Cuan,Tun,"</v>
      </c>
    </row>
    <row r="42" spans="1:8" ht="13.5" x14ac:dyDescent="0.15">
      <c r="A42" t="s">
        <v>200</v>
      </c>
      <c r="B42" s="1" t="s">
        <v>201</v>
      </c>
      <c r="D42" s="1" t="s">
        <v>416</v>
      </c>
      <c r="E42" s="1" t="s">
        <v>417</v>
      </c>
      <c r="F42" s="1" t="s">
        <v>418</v>
      </c>
      <c r="H42" s="1" t="str">
        <f t="shared" si="0"/>
        <v>Case "攒": pinyin = "Cuan,Zan,"</v>
      </c>
    </row>
    <row r="43" spans="1:8" ht="13.5" x14ac:dyDescent="0.15">
      <c r="A43" t="s">
        <v>202</v>
      </c>
      <c r="B43" s="1" t="s">
        <v>203</v>
      </c>
      <c r="D43" s="1" t="s">
        <v>416</v>
      </c>
      <c r="E43" s="1" t="s">
        <v>417</v>
      </c>
      <c r="F43" s="1" t="s">
        <v>418</v>
      </c>
      <c r="H43" s="1" t="str">
        <f t="shared" si="0"/>
        <v>Case "撮": pinyin = "Cuo,Zuo,"</v>
      </c>
    </row>
    <row r="44" spans="1:8" ht="13.5" x14ac:dyDescent="0.15">
      <c r="A44" t="s">
        <v>175</v>
      </c>
      <c r="B44" s="1" t="s">
        <v>206</v>
      </c>
      <c r="D44" s="1" t="s">
        <v>416</v>
      </c>
      <c r="E44" s="1" t="s">
        <v>417</v>
      </c>
      <c r="F44" s="1" t="s">
        <v>418</v>
      </c>
      <c r="H44" s="1" t="str">
        <f t="shared" si="0"/>
        <v>Case "单": pinyin = "Dan,Shan,"</v>
      </c>
    </row>
    <row r="45" spans="1:8" ht="13.5" x14ac:dyDescent="0.15">
      <c r="A45" t="s">
        <v>204</v>
      </c>
      <c r="B45" s="1" t="s">
        <v>205</v>
      </c>
      <c r="D45" s="1" t="s">
        <v>416</v>
      </c>
      <c r="E45" s="1" t="s">
        <v>417</v>
      </c>
      <c r="F45" s="1" t="s">
        <v>418</v>
      </c>
      <c r="H45" s="1" t="str">
        <f t="shared" si="0"/>
        <v>Case "弹": pinyin = "Dan,Tan,"</v>
      </c>
    </row>
    <row r="46" spans="1:8" ht="13.5" x14ac:dyDescent="0.15">
      <c r="A46" t="s">
        <v>208</v>
      </c>
      <c r="B46" s="1" t="s">
        <v>207</v>
      </c>
      <c r="D46" s="1" t="s">
        <v>416</v>
      </c>
      <c r="E46" s="1" t="s">
        <v>417</v>
      </c>
      <c r="F46" s="1" t="s">
        <v>418</v>
      </c>
      <c r="H46" s="1" t="str">
        <f t="shared" si="0"/>
        <v>Case "叨": pinyin = "Dao,Tao,"</v>
      </c>
    </row>
    <row r="47" spans="1:8" ht="13.5" x14ac:dyDescent="0.15">
      <c r="A47" t="s">
        <v>212</v>
      </c>
      <c r="B47" s="1" t="s">
        <v>213</v>
      </c>
      <c r="D47" s="1" t="s">
        <v>416</v>
      </c>
      <c r="E47" s="1" t="s">
        <v>417</v>
      </c>
      <c r="F47" s="1" t="s">
        <v>418</v>
      </c>
      <c r="H47" s="1" t="str">
        <f t="shared" si="0"/>
        <v>Case "得": pinyin = "De,Dei,"</v>
      </c>
    </row>
    <row r="48" spans="1:8" ht="13.5" x14ac:dyDescent="0.15">
      <c r="A48" t="s">
        <v>211</v>
      </c>
      <c r="B48" s="1" t="s">
        <v>210</v>
      </c>
      <c r="D48" s="1" t="s">
        <v>416</v>
      </c>
      <c r="E48" s="1" t="s">
        <v>417</v>
      </c>
      <c r="F48" s="1" t="s">
        <v>418</v>
      </c>
      <c r="H48" s="1" t="str">
        <f t="shared" si="0"/>
        <v>Case "地": pinyin = "De,Di,"</v>
      </c>
    </row>
    <row r="49" spans="1:8" ht="13.5" x14ac:dyDescent="0.15">
      <c r="A49" t="s">
        <v>209</v>
      </c>
      <c r="B49" s="1" t="s">
        <v>210</v>
      </c>
      <c r="D49" s="1" t="s">
        <v>416</v>
      </c>
      <c r="E49" s="1" t="s">
        <v>417</v>
      </c>
      <c r="F49" s="1" t="s">
        <v>418</v>
      </c>
      <c r="H49" s="1" t="str">
        <f t="shared" si="0"/>
        <v>Case "的": pinyin = "De,Di,"</v>
      </c>
    </row>
    <row r="50" spans="1:8" ht="13.5" x14ac:dyDescent="0.15">
      <c r="A50" t="s">
        <v>482</v>
      </c>
      <c r="B50" s="1" t="s">
        <v>214</v>
      </c>
      <c r="D50" s="1" t="s">
        <v>416</v>
      </c>
      <c r="E50" s="1" t="s">
        <v>417</v>
      </c>
      <c r="F50" s="1" t="s">
        <v>418</v>
      </c>
      <c r="H50" s="1" t="str">
        <f t="shared" si="0"/>
        <v>Case "佃": pinyin = "Dian,Tian,"</v>
      </c>
    </row>
    <row r="51" spans="1:8" ht="13.5" x14ac:dyDescent="0.15">
      <c r="A51" t="s">
        <v>215</v>
      </c>
      <c r="B51" s="1" t="s">
        <v>216</v>
      </c>
      <c r="D51" s="1" t="s">
        <v>416</v>
      </c>
      <c r="E51" s="1" t="s">
        <v>417</v>
      </c>
      <c r="F51" s="1" t="s">
        <v>418</v>
      </c>
      <c r="H51" s="1" t="str">
        <f t="shared" si="0"/>
        <v>Case "调": pinyin = "Diao,Tiao,"</v>
      </c>
    </row>
    <row r="52" spans="1:8" ht="13.5" x14ac:dyDescent="0.15">
      <c r="A52" t="s">
        <v>217</v>
      </c>
      <c r="B52" s="1" t="s">
        <v>218</v>
      </c>
      <c r="D52" s="1" t="s">
        <v>416</v>
      </c>
      <c r="E52" s="1" t="s">
        <v>417</v>
      </c>
      <c r="F52" s="1" t="s">
        <v>418</v>
      </c>
      <c r="H52" s="1" t="str">
        <f t="shared" si="0"/>
        <v>Case "喋": pinyin = "Die,Zha,"</v>
      </c>
    </row>
    <row r="53" spans="1:8" ht="13.5" x14ac:dyDescent="0.15">
      <c r="A53" t="s">
        <v>483</v>
      </c>
      <c r="B53" s="1" t="s">
        <v>484</v>
      </c>
      <c r="D53" s="1" t="s">
        <v>416</v>
      </c>
      <c r="E53" s="1" t="s">
        <v>417</v>
      </c>
      <c r="F53" s="1" t="s">
        <v>418</v>
      </c>
      <c r="H53" s="1" t="str">
        <f t="shared" si="0"/>
        <v>Case "丁": pinyin = "Ding,Zheng,"</v>
      </c>
    </row>
    <row r="54" spans="1:8" ht="13.5" x14ac:dyDescent="0.15">
      <c r="A54" t="s">
        <v>219</v>
      </c>
      <c r="B54" s="1" t="s">
        <v>220</v>
      </c>
      <c r="D54" s="1" t="s">
        <v>416</v>
      </c>
      <c r="E54" s="1" t="s">
        <v>417</v>
      </c>
      <c r="F54" s="1" t="s">
        <v>418</v>
      </c>
      <c r="H54" s="1" t="str">
        <f t="shared" si="0"/>
        <v>Case "都": pinyin = "Dou,Du,"</v>
      </c>
    </row>
    <row r="55" spans="1:8" ht="13.5" x14ac:dyDescent="0.15">
      <c r="A55" t="s">
        <v>221</v>
      </c>
      <c r="B55" s="1" t="s">
        <v>222</v>
      </c>
      <c r="D55" s="1" t="s">
        <v>416</v>
      </c>
      <c r="E55" s="1" t="s">
        <v>417</v>
      </c>
      <c r="F55" s="1" t="s">
        <v>418</v>
      </c>
      <c r="H55" s="1" t="str">
        <f t="shared" si="0"/>
        <v>Case "度": pinyin = "Du,Duo,"</v>
      </c>
    </row>
    <row r="56" spans="1:8" ht="13.5" x14ac:dyDescent="0.15">
      <c r="A56" t="s">
        <v>223</v>
      </c>
      <c r="B56" s="1" t="s">
        <v>224</v>
      </c>
      <c r="D56" s="1" t="s">
        <v>416</v>
      </c>
      <c r="E56" s="1" t="s">
        <v>417</v>
      </c>
      <c r="F56" s="1" t="s">
        <v>418</v>
      </c>
      <c r="H56" s="1" t="str">
        <f t="shared" si="0"/>
        <v>Case "囤": pinyin = "Dun,Tun,"</v>
      </c>
    </row>
    <row r="57" spans="1:8" ht="13.5" x14ac:dyDescent="0.15">
      <c r="A57" t="s">
        <v>225</v>
      </c>
      <c r="B57" s="1" t="s">
        <v>226</v>
      </c>
      <c r="D57" s="1" t="s">
        <v>416</v>
      </c>
      <c r="E57" s="1" t="s">
        <v>417</v>
      </c>
      <c r="F57" s="1" t="s">
        <v>418</v>
      </c>
      <c r="H57" s="1" t="str">
        <f t="shared" si="0"/>
        <v>Case "驮": pinyin = "Duo,Tuo,"</v>
      </c>
    </row>
    <row r="58" spans="1:8" ht="13.5" x14ac:dyDescent="0.15">
      <c r="A58" t="s">
        <v>227</v>
      </c>
      <c r="B58" s="1" t="s">
        <v>228</v>
      </c>
      <c r="D58" s="1" t="s">
        <v>416</v>
      </c>
      <c r="E58" s="1" t="s">
        <v>417</v>
      </c>
      <c r="F58" s="1" t="s">
        <v>418</v>
      </c>
      <c r="H58" s="1" t="str">
        <f t="shared" si="0"/>
        <v>Case "哦": pinyin = "E,O,"</v>
      </c>
    </row>
    <row r="59" spans="1:8" ht="13.5" x14ac:dyDescent="0.15">
      <c r="A59" t="s">
        <v>229</v>
      </c>
      <c r="B59" s="1" t="s">
        <v>230</v>
      </c>
      <c r="D59" s="1" t="s">
        <v>416</v>
      </c>
      <c r="E59" s="1" t="s">
        <v>417</v>
      </c>
      <c r="F59" s="1" t="s">
        <v>418</v>
      </c>
      <c r="H59" s="1" t="str">
        <f t="shared" si="0"/>
        <v>Case "恶": pinyin = "E,Wu,"</v>
      </c>
    </row>
    <row r="60" spans="1:8" ht="13.5" x14ac:dyDescent="0.15">
      <c r="A60" t="s">
        <v>231</v>
      </c>
      <c r="B60" s="1" t="s">
        <v>232</v>
      </c>
      <c r="D60" s="1" t="s">
        <v>416</v>
      </c>
      <c r="E60" s="1" t="s">
        <v>417</v>
      </c>
      <c r="F60" s="1" t="s">
        <v>418</v>
      </c>
      <c r="H60" s="1" t="str">
        <f t="shared" si="0"/>
        <v>Case "番": pinyin = "Fan,Pan,"</v>
      </c>
    </row>
    <row r="61" spans="1:8" ht="13.5" x14ac:dyDescent="0.15">
      <c r="A61" t="s">
        <v>233</v>
      </c>
      <c r="B61" s="1" t="s">
        <v>234</v>
      </c>
      <c r="D61" s="1" t="s">
        <v>416</v>
      </c>
      <c r="E61" s="1" t="s">
        <v>417</v>
      </c>
      <c r="F61" s="1" t="s">
        <v>418</v>
      </c>
      <c r="H61" s="1" t="str">
        <f t="shared" si="0"/>
        <v>Case "否": pinyin = "Fou,Pi,"</v>
      </c>
    </row>
    <row r="62" spans="1:8" ht="13.5" x14ac:dyDescent="0.15">
      <c r="A62" t="s">
        <v>235</v>
      </c>
      <c r="B62" s="1" t="s">
        <v>236</v>
      </c>
      <c r="D62" s="1" t="s">
        <v>416</v>
      </c>
      <c r="E62" s="1" t="s">
        <v>417</v>
      </c>
      <c r="F62" s="1" t="s">
        <v>418</v>
      </c>
      <c r="H62" s="1" t="str">
        <f t="shared" si="0"/>
        <v>Case "脯": pinyin = "Fu,Pu,"</v>
      </c>
    </row>
    <row r="63" spans="1:8" ht="13.5" x14ac:dyDescent="0.15">
      <c r="A63" t="s">
        <v>237</v>
      </c>
      <c r="B63" s="1" t="s">
        <v>485</v>
      </c>
      <c r="D63" s="1" t="s">
        <v>416</v>
      </c>
      <c r="E63" s="1" t="s">
        <v>417</v>
      </c>
      <c r="F63" s="1" t="s">
        <v>418</v>
      </c>
      <c r="H63" s="1" t="str">
        <f t="shared" si="0"/>
        <v>Case "咯": pinyin = "Ge,Ka,"</v>
      </c>
    </row>
    <row r="64" spans="1:8" ht="13.5" x14ac:dyDescent="0.15">
      <c r="A64" t="s">
        <v>238</v>
      </c>
      <c r="B64" s="1" t="s">
        <v>239</v>
      </c>
      <c r="D64" s="1" t="s">
        <v>416</v>
      </c>
      <c r="E64" s="1" t="s">
        <v>417</v>
      </c>
      <c r="F64" s="1" t="s">
        <v>418</v>
      </c>
      <c r="H64" s="1" t="str">
        <f t="shared" si="0"/>
        <v>Case "蛤": pinyin = "Ge,Ha,"</v>
      </c>
    </row>
    <row r="65" spans="1:8" ht="13.5" x14ac:dyDescent="0.15">
      <c r="A65" t="s">
        <v>240</v>
      </c>
      <c r="B65" s="1" t="s">
        <v>241</v>
      </c>
      <c r="D65" s="1" t="s">
        <v>416</v>
      </c>
      <c r="E65" s="1" t="s">
        <v>417</v>
      </c>
      <c r="F65" s="1" t="s">
        <v>418</v>
      </c>
      <c r="H65" s="1" t="str">
        <f t="shared" si="0"/>
        <v>Case "给": pinyin = "Gei,Ji,"</v>
      </c>
    </row>
    <row r="66" spans="1:8" ht="13.5" x14ac:dyDescent="0.15">
      <c r="A66" t="s">
        <v>242</v>
      </c>
      <c r="B66" s="1" t="s">
        <v>243</v>
      </c>
      <c r="D66" s="1" t="s">
        <v>416</v>
      </c>
      <c r="E66" s="1" t="s">
        <v>417</v>
      </c>
      <c r="F66" s="1" t="s">
        <v>418</v>
      </c>
      <c r="H66" s="1" t="str">
        <f t="shared" ref="H66:H129" si="1">D66&amp;A66&amp;E66&amp;B66&amp;F66</f>
        <v>Case "莞": pinyin = "Guan,Wan,"</v>
      </c>
    </row>
    <row r="67" spans="1:8" ht="13.5" x14ac:dyDescent="0.15">
      <c r="A67" t="s">
        <v>246</v>
      </c>
      <c r="B67" s="1" t="s">
        <v>247</v>
      </c>
      <c r="D67" s="1" t="s">
        <v>416</v>
      </c>
      <c r="E67" s="1" t="s">
        <v>417</v>
      </c>
      <c r="F67" s="1" t="s">
        <v>418</v>
      </c>
      <c r="H67" s="1" t="str">
        <f t="shared" si="1"/>
        <v>Case "咳": pinyin = "Hai,Ke,"</v>
      </c>
    </row>
    <row r="68" spans="1:8" ht="13.5" x14ac:dyDescent="0.15">
      <c r="A68" t="s">
        <v>244</v>
      </c>
      <c r="B68" s="1" t="s">
        <v>245</v>
      </c>
      <c r="D68" s="1" t="s">
        <v>416</v>
      </c>
      <c r="E68" s="1" t="s">
        <v>417</v>
      </c>
      <c r="F68" s="1" t="s">
        <v>418</v>
      </c>
      <c r="H68" s="1" t="str">
        <f t="shared" si="1"/>
        <v>Case "还": pinyin = "Hai,Huan,"</v>
      </c>
    </row>
    <row r="69" spans="1:8" ht="13.5" x14ac:dyDescent="0.15">
      <c r="A69" t="s">
        <v>248</v>
      </c>
      <c r="B69" s="1" t="s">
        <v>249</v>
      </c>
      <c r="D69" s="1" t="s">
        <v>416</v>
      </c>
      <c r="E69" s="1" t="s">
        <v>417</v>
      </c>
      <c r="F69" s="1" t="s">
        <v>418</v>
      </c>
      <c r="H69" s="1" t="str">
        <f t="shared" si="1"/>
        <v>Case "行": pinyin = "Hang,Xing,"</v>
      </c>
    </row>
    <row r="70" spans="1:8" ht="13.5" x14ac:dyDescent="0.15">
      <c r="A70" t="s">
        <v>252</v>
      </c>
      <c r="B70" s="1" t="s">
        <v>253</v>
      </c>
      <c r="D70" s="1" t="s">
        <v>416</v>
      </c>
      <c r="E70" s="1" t="s">
        <v>417</v>
      </c>
      <c r="F70" s="1" t="s">
        <v>418</v>
      </c>
      <c r="H70" s="1" t="str">
        <f t="shared" si="1"/>
        <v>Case "吭": pinyin = "Hang,Keng,"</v>
      </c>
    </row>
    <row r="71" spans="1:8" ht="13.5" x14ac:dyDescent="0.15">
      <c r="A71" t="s">
        <v>250</v>
      </c>
      <c r="B71" s="1" t="s">
        <v>251</v>
      </c>
      <c r="D71" s="1" t="s">
        <v>416</v>
      </c>
      <c r="E71" s="1" t="s">
        <v>417</v>
      </c>
      <c r="F71" s="1" t="s">
        <v>418</v>
      </c>
      <c r="H71" s="1" t="str">
        <f t="shared" si="1"/>
        <v>Case "巷": pinyin = "Hang,Xiang,"</v>
      </c>
    </row>
    <row r="72" spans="1:8" ht="13.5" x14ac:dyDescent="0.15">
      <c r="A72" t="s">
        <v>254</v>
      </c>
      <c r="B72" s="1" t="s">
        <v>255</v>
      </c>
      <c r="D72" s="1" t="s">
        <v>416</v>
      </c>
      <c r="E72" s="1" t="s">
        <v>417</v>
      </c>
      <c r="F72" s="1" t="s">
        <v>418</v>
      </c>
      <c r="H72" s="1" t="str">
        <f t="shared" si="1"/>
        <v>Case "和": pinyin = "He,Huo,"</v>
      </c>
    </row>
    <row r="73" spans="1:8" ht="13.5" x14ac:dyDescent="0.15">
      <c r="A73" t="s">
        <v>256</v>
      </c>
      <c r="B73" s="1" t="s">
        <v>257</v>
      </c>
      <c r="D73" s="1" t="s">
        <v>416</v>
      </c>
      <c r="E73" s="1" t="s">
        <v>417</v>
      </c>
      <c r="F73" s="1" t="s">
        <v>418</v>
      </c>
      <c r="H73" s="1" t="str">
        <f t="shared" si="1"/>
        <v>Case "吓": pinyin = "He,Xia,"</v>
      </c>
    </row>
    <row r="74" spans="1:8" ht="13.5" x14ac:dyDescent="0.15">
      <c r="A74" t="s">
        <v>486</v>
      </c>
      <c r="B74" s="1" t="s">
        <v>487</v>
      </c>
      <c r="D74" s="1" t="s">
        <v>416</v>
      </c>
      <c r="E74" s="1" t="s">
        <v>417</v>
      </c>
      <c r="F74" s="1" t="s">
        <v>418</v>
      </c>
      <c r="H74" s="1" t="str">
        <f t="shared" si="1"/>
        <v>Case "唬": pinyin = "Hu,Xia,"</v>
      </c>
    </row>
    <row r="75" spans="1:8" ht="13.5" x14ac:dyDescent="0.15">
      <c r="A75" t="s">
        <v>258</v>
      </c>
      <c r="B75" s="1" t="s">
        <v>259</v>
      </c>
      <c r="D75" s="1" t="s">
        <v>416</v>
      </c>
      <c r="E75" s="1" t="s">
        <v>417</v>
      </c>
      <c r="F75" s="1" t="s">
        <v>418</v>
      </c>
      <c r="H75" s="1" t="str">
        <f t="shared" si="1"/>
        <v>Case "会": pinyin = "Hui,Kuai,"</v>
      </c>
    </row>
    <row r="76" spans="1:8" ht="13.5" x14ac:dyDescent="0.15">
      <c r="A76" t="s">
        <v>263</v>
      </c>
      <c r="B76" s="1" t="s">
        <v>262</v>
      </c>
      <c r="D76" s="1" t="s">
        <v>416</v>
      </c>
      <c r="E76" s="1" t="s">
        <v>417</v>
      </c>
      <c r="F76" s="1" t="s">
        <v>418</v>
      </c>
      <c r="H76" s="1" t="str">
        <f t="shared" si="1"/>
        <v>Case "奇": pinyin = "Ji,Qi,"</v>
      </c>
    </row>
    <row r="77" spans="1:8" ht="13.5" x14ac:dyDescent="0.15">
      <c r="A77" t="s">
        <v>264</v>
      </c>
      <c r="B77" s="1" t="s">
        <v>262</v>
      </c>
      <c r="D77" s="1" t="s">
        <v>416</v>
      </c>
      <c r="E77" s="1" t="s">
        <v>417</v>
      </c>
      <c r="F77" s="1" t="s">
        <v>418</v>
      </c>
      <c r="H77" s="1" t="str">
        <f t="shared" si="1"/>
        <v>Case "稽": pinyin = "Ji,Qi,"</v>
      </c>
    </row>
    <row r="78" spans="1:8" ht="13.5" x14ac:dyDescent="0.15">
      <c r="A78" t="s">
        <v>265</v>
      </c>
      <c r="B78" s="1" t="s">
        <v>262</v>
      </c>
      <c r="D78" s="1" t="s">
        <v>416</v>
      </c>
      <c r="E78" s="1" t="s">
        <v>417</v>
      </c>
      <c r="F78" s="1" t="s">
        <v>418</v>
      </c>
      <c r="H78" s="1" t="str">
        <f t="shared" si="1"/>
        <v>Case "亟": pinyin = "Ji,Qi,"</v>
      </c>
    </row>
    <row r="79" spans="1:8" ht="13.5" x14ac:dyDescent="0.15">
      <c r="A79" t="s">
        <v>260</v>
      </c>
      <c r="B79" s="1" t="s">
        <v>261</v>
      </c>
      <c r="D79" s="1" t="s">
        <v>416</v>
      </c>
      <c r="E79" s="1" t="s">
        <v>417</v>
      </c>
      <c r="F79" s="1" t="s">
        <v>418</v>
      </c>
      <c r="H79" s="1" t="str">
        <f t="shared" si="1"/>
        <v>Case "系": pinyin = "Ji,Xi,"</v>
      </c>
    </row>
    <row r="80" spans="1:8" ht="13.5" x14ac:dyDescent="0.15">
      <c r="A80" t="s">
        <v>488</v>
      </c>
      <c r="B80" s="1" t="s">
        <v>266</v>
      </c>
      <c r="D80" s="1" t="s">
        <v>416</v>
      </c>
      <c r="E80" s="1" t="s">
        <v>417</v>
      </c>
      <c r="F80" s="1" t="s">
        <v>418</v>
      </c>
      <c r="H80" s="1" t="str">
        <f t="shared" si="1"/>
        <v>Case "浅": pinyin = "Jian,Qian,"</v>
      </c>
    </row>
    <row r="81" spans="1:8" ht="13.5" x14ac:dyDescent="0.15">
      <c r="A81" t="s">
        <v>267</v>
      </c>
      <c r="B81" s="1" t="s">
        <v>268</v>
      </c>
      <c r="D81" s="1" t="s">
        <v>416</v>
      </c>
      <c r="E81" s="1" t="s">
        <v>417</v>
      </c>
      <c r="F81" s="1" t="s">
        <v>418</v>
      </c>
      <c r="H81" s="1" t="str">
        <f t="shared" si="1"/>
        <v>Case "降": pinyin = "Jiang,Xiang,"</v>
      </c>
    </row>
    <row r="82" spans="1:8" ht="13.5" x14ac:dyDescent="0.15">
      <c r="A82" t="s">
        <v>270</v>
      </c>
      <c r="B82" s="1" t="s">
        <v>269</v>
      </c>
      <c r="D82" s="1" t="s">
        <v>416</v>
      </c>
      <c r="E82" s="1" t="s">
        <v>417</v>
      </c>
      <c r="F82" s="1" t="s">
        <v>418</v>
      </c>
      <c r="H82" s="1" t="str">
        <f t="shared" si="1"/>
        <v>Case "角": pinyin = "Jiao,Jue,"</v>
      </c>
    </row>
    <row r="83" spans="1:8" ht="13.5" x14ac:dyDescent="0.15">
      <c r="A83" t="s">
        <v>271</v>
      </c>
      <c r="B83" s="1" t="s">
        <v>269</v>
      </c>
      <c r="D83" s="1" t="s">
        <v>416</v>
      </c>
      <c r="E83" s="1" t="s">
        <v>417</v>
      </c>
      <c r="F83" s="1" t="s">
        <v>418</v>
      </c>
      <c r="H83" s="1" t="str">
        <f t="shared" si="1"/>
        <v>Case "觉": pinyin = "Jiao,Jue,"</v>
      </c>
    </row>
    <row r="84" spans="1:8" ht="13.5" x14ac:dyDescent="0.15">
      <c r="A84" t="s">
        <v>272</v>
      </c>
      <c r="B84" s="1" t="s">
        <v>273</v>
      </c>
      <c r="D84" s="1" t="s">
        <v>416</v>
      </c>
      <c r="E84" s="1" t="s">
        <v>417</v>
      </c>
      <c r="F84" s="1" t="s">
        <v>418</v>
      </c>
      <c r="H84" s="1" t="str">
        <f t="shared" si="1"/>
        <v>Case "校": pinyin = "Jiao,Xiao,"</v>
      </c>
    </row>
    <row r="85" spans="1:8" ht="13.5" x14ac:dyDescent="0.15">
      <c r="A85" t="s">
        <v>274</v>
      </c>
      <c r="B85" s="1" t="s">
        <v>275</v>
      </c>
      <c r="D85" s="1" t="s">
        <v>416</v>
      </c>
      <c r="E85" s="1" t="s">
        <v>417</v>
      </c>
      <c r="F85" s="1" t="s">
        <v>418</v>
      </c>
      <c r="H85" s="1" t="str">
        <f t="shared" si="1"/>
        <v>Case "解": pinyin = "Jie,Xie,"</v>
      </c>
    </row>
    <row r="86" spans="1:8" ht="13.5" x14ac:dyDescent="0.15">
      <c r="A86" t="s">
        <v>276</v>
      </c>
      <c r="B86" s="1" t="s">
        <v>277</v>
      </c>
      <c r="D86" s="1" t="s">
        <v>416</v>
      </c>
      <c r="E86" s="1" t="s">
        <v>417</v>
      </c>
      <c r="F86" s="1" t="s">
        <v>418</v>
      </c>
      <c r="H86" s="1" t="str">
        <f t="shared" si="1"/>
        <v>Case "劲": pinyin = "Jin,Jing,"</v>
      </c>
    </row>
    <row r="87" spans="1:8" ht="13.5" x14ac:dyDescent="0.15">
      <c r="A87" t="s">
        <v>489</v>
      </c>
      <c r="B87" s="1" t="s">
        <v>490</v>
      </c>
      <c r="D87" s="1" t="s">
        <v>416</v>
      </c>
      <c r="E87" s="1" t="s">
        <v>417</v>
      </c>
      <c r="F87" s="1" t="s">
        <v>418</v>
      </c>
      <c r="H87" s="1" t="str">
        <f t="shared" si="1"/>
        <v>Case "咀": pinyin = "Ju,Zui,"</v>
      </c>
    </row>
    <row r="88" spans="1:8" ht="13.5" x14ac:dyDescent="0.15">
      <c r="A88" t="s">
        <v>278</v>
      </c>
      <c r="B88" s="1" t="s">
        <v>279</v>
      </c>
      <c r="D88" s="1" t="s">
        <v>416</v>
      </c>
      <c r="E88" s="1" t="s">
        <v>417</v>
      </c>
      <c r="F88" s="1" t="s">
        <v>418</v>
      </c>
      <c r="H88" s="1" t="str">
        <f t="shared" si="1"/>
        <v>Case "圈": pinyin = "Juan,Quan,"</v>
      </c>
    </row>
    <row r="89" spans="1:8" ht="13.5" x14ac:dyDescent="0.15">
      <c r="A89" t="s">
        <v>280</v>
      </c>
      <c r="B89" s="1" t="s">
        <v>281</v>
      </c>
      <c r="D89" s="1" t="s">
        <v>416</v>
      </c>
      <c r="E89" s="1" t="s">
        <v>417</v>
      </c>
      <c r="F89" s="1" t="s">
        <v>418</v>
      </c>
      <c r="H89" s="1" t="str">
        <f t="shared" si="1"/>
        <v>Case "卡": pinyin = "Ka,Qia,"</v>
      </c>
    </row>
    <row r="90" spans="1:8" ht="13.5" x14ac:dyDescent="0.15">
      <c r="A90" t="s">
        <v>282</v>
      </c>
      <c r="B90" s="1" t="s">
        <v>283</v>
      </c>
      <c r="D90" s="1" t="s">
        <v>416</v>
      </c>
      <c r="E90" s="1" t="s">
        <v>417</v>
      </c>
      <c r="F90" s="1" t="s">
        <v>418</v>
      </c>
      <c r="H90" s="1" t="str">
        <f t="shared" si="1"/>
        <v>Case "壳": pinyin = "Ke,Qiao,"</v>
      </c>
    </row>
    <row r="91" spans="1:8" ht="13.5" x14ac:dyDescent="0.15">
      <c r="A91" t="s">
        <v>491</v>
      </c>
      <c r="B91" s="1" t="s">
        <v>492</v>
      </c>
      <c r="D91" s="1" t="s">
        <v>416</v>
      </c>
      <c r="E91" s="1" t="s">
        <v>417</v>
      </c>
      <c r="F91" s="1" t="s">
        <v>418</v>
      </c>
      <c r="H91" s="1" t="str">
        <f t="shared" si="1"/>
        <v>Case "克": pinyin = "Ke,Kei,"</v>
      </c>
    </row>
    <row r="92" spans="1:8" ht="13.5" x14ac:dyDescent="0.15">
      <c r="A92" t="s">
        <v>284</v>
      </c>
      <c r="B92" s="1" t="s">
        <v>285</v>
      </c>
      <c r="D92" s="1" t="s">
        <v>416</v>
      </c>
      <c r="E92" s="1" t="s">
        <v>417</v>
      </c>
      <c r="F92" s="1" t="s">
        <v>418</v>
      </c>
      <c r="H92" s="1" t="str">
        <f t="shared" si="1"/>
        <v>Case "落": pinyin = "La,Lao,Luo,"</v>
      </c>
    </row>
    <row r="93" spans="1:8" ht="13.5" x14ac:dyDescent="0.15">
      <c r="A93" t="s">
        <v>288</v>
      </c>
      <c r="B93" s="1" t="s">
        <v>287</v>
      </c>
      <c r="D93" s="1" t="s">
        <v>416</v>
      </c>
      <c r="E93" s="1" t="s">
        <v>417</v>
      </c>
      <c r="F93" s="1" t="s">
        <v>418</v>
      </c>
      <c r="H93" s="1" t="str">
        <f t="shared" si="1"/>
        <v>Case "络": pinyin = "Lao,Luo,"</v>
      </c>
    </row>
    <row r="94" spans="1:8" ht="13.5" x14ac:dyDescent="0.15">
      <c r="A94" t="s">
        <v>286</v>
      </c>
      <c r="B94" s="1" t="s">
        <v>287</v>
      </c>
      <c r="D94" s="1" t="s">
        <v>416</v>
      </c>
      <c r="E94" s="1" t="s">
        <v>417</v>
      </c>
      <c r="F94" s="1" t="s">
        <v>418</v>
      </c>
      <c r="H94" s="1" t="str">
        <f t="shared" si="1"/>
        <v>Case "烙": pinyin = "Lao,Luo,"</v>
      </c>
    </row>
    <row r="95" spans="1:8" ht="13.5" x14ac:dyDescent="0.15">
      <c r="A95" t="s">
        <v>493</v>
      </c>
      <c r="B95" s="1" t="s">
        <v>294</v>
      </c>
      <c r="D95" s="1" t="s">
        <v>416</v>
      </c>
      <c r="E95" s="1" t="s">
        <v>417</v>
      </c>
      <c r="F95" s="1" t="s">
        <v>418</v>
      </c>
      <c r="H95" s="1" t="str">
        <f t="shared" si="1"/>
        <v>Case "肋": pinyin = "Le,Lei,"</v>
      </c>
    </row>
    <row r="96" spans="1:8" ht="13.5" x14ac:dyDescent="0.15">
      <c r="A96" t="s">
        <v>293</v>
      </c>
      <c r="B96" s="1" t="s">
        <v>294</v>
      </c>
      <c r="D96" s="1" t="s">
        <v>416</v>
      </c>
      <c r="E96" s="1" t="s">
        <v>417</v>
      </c>
      <c r="F96" s="1" t="s">
        <v>418</v>
      </c>
      <c r="H96" s="1" t="str">
        <f t="shared" si="1"/>
        <v>Case "勒": pinyin = "Le,Lei,"</v>
      </c>
    </row>
    <row r="97" spans="1:8" ht="13.5" x14ac:dyDescent="0.15">
      <c r="A97" t="s">
        <v>291</v>
      </c>
      <c r="B97" s="1" t="s">
        <v>292</v>
      </c>
      <c r="D97" s="1" t="s">
        <v>416</v>
      </c>
      <c r="E97" s="1" t="s">
        <v>417</v>
      </c>
      <c r="F97" s="1" t="s">
        <v>418</v>
      </c>
      <c r="H97" s="1" t="str">
        <f t="shared" si="1"/>
        <v>Case "乐": pinyin = "Le,Yue,"</v>
      </c>
    </row>
    <row r="98" spans="1:8" ht="13.5" x14ac:dyDescent="0.15">
      <c r="A98" t="s">
        <v>289</v>
      </c>
      <c r="B98" s="1" t="s">
        <v>290</v>
      </c>
      <c r="D98" s="1" t="s">
        <v>416</v>
      </c>
      <c r="E98" s="1" t="s">
        <v>417</v>
      </c>
      <c r="F98" s="1" t="s">
        <v>418</v>
      </c>
      <c r="H98" s="1" t="str">
        <f t="shared" si="1"/>
        <v>Case "了": pinyin = "Le,Liao,"</v>
      </c>
    </row>
    <row r="99" spans="1:8" ht="13.5" x14ac:dyDescent="0.15">
      <c r="A99" t="s">
        <v>295</v>
      </c>
      <c r="B99" s="1" t="s">
        <v>296</v>
      </c>
      <c r="D99" s="1" t="s">
        <v>416</v>
      </c>
      <c r="E99" s="1" t="s">
        <v>417</v>
      </c>
      <c r="F99" s="1" t="s">
        <v>418</v>
      </c>
      <c r="H99" s="1" t="str">
        <f t="shared" si="1"/>
        <v>Case "弄": pinyin = "Long,Nong,"</v>
      </c>
    </row>
    <row r="100" spans="1:8" ht="13.5" x14ac:dyDescent="0.15">
      <c r="A100" t="s">
        <v>297</v>
      </c>
      <c r="B100" s="1" t="s">
        <v>298</v>
      </c>
      <c r="D100" s="1" t="s">
        <v>416</v>
      </c>
      <c r="E100" s="1" t="s">
        <v>417</v>
      </c>
      <c r="F100" s="1" t="s">
        <v>418</v>
      </c>
      <c r="H100" s="1" t="str">
        <f t="shared" si="1"/>
        <v>Case "露": pinyin = "Lou,Lu,"</v>
      </c>
    </row>
    <row r="101" spans="1:8" ht="13.5" x14ac:dyDescent="0.15">
      <c r="A101" t="s">
        <v>299</v>
      </c>
      <c r="B101" s="1" t="s">
        <v>494</v>
      </c>
      <c r="D101" s="1" t="s">
        <v>416</v>
      </c>
      <c r="E101" s="1" t="s">
        <v>417</v>
      </c>
      <c r="F101" s="1" t="s">
        <v>418</v>
      </c>
      <c r="H101" s="1" t="str">
        <f t="shared" si="1"/>
        <v>Case "绿": pinyin = "Lu,Luu,"</v>
      </c>
    </row>
    <row r="102" spans="1:8" ht="13.5" x14ac:dyDescent="0.15">
      <c r="A102" t="s">
        <v>300</v>
      </c>
      <c r="B102" s="1" t="s">
        <v>495</v>
      </c>
      <c r="D102" s="1" t="s">
        <v>416</v>
      </c>
      <c r="E102" s="1" t="s">
        <v>417</v>
      </c>
      <c r="F102" s="1" t="s">
        <v>418</v>
      </c>
      <c r="H102" s="1" t="str">
        <f t="shared" si="1"/>
        <v>Case "率": pinyin = "Luu,Shuai,"</v>
      </c>
    </row>
    <row r="103" spans="1:8" ht="13.5" x14ac:dyDescent="0.15">
      <c r="A103" t="s">
        <v>301</v>
      </c>
      <c r="B103" s="1" t="s">
        <v>302</v>
      </c>
      <c r="D103" s="1" t="s">
        <v>416</v>
      </c>
      <c r="E103" s="1" t="s">
        <v>417</v>
      </c>
      <c r="F103" s="1" t="s">
        <v>418</v>
      </c>
      <c r="H103" s="1" t="str">
        <f t="shared" si="1"/>
        <v>Case "抹": pinyin = "Ma,Mo,"</v>
      </c>
    </row>
    <row r="104" spans="1:8" ht="13.5" x14ac:dyDescent="0.15">
      <c r="A104" t="s">
        <v>303</v>
      </c>
      <c r="B104" s="1" t="s">
        <v>302</v>
      </c>
      <c r="D104" s="1" t="s">
        <v>416</v>
      </c>
      <c r="E104" s="1" t="s">
        <v>417</v>
      </c>
      <c r="F104" s="1" t="s">
        <v>418</v>
      </c>
      <c r="H104" s="1" t="str">
        <f t="shared" si="1"/>
        <v>Case "摩": pinyin = "Ma,Mo,"</v>
      </c>
    </row>
    <row r="105" spans="1:8" ht="13.5" x14ac:dyDescent="0.15">
      <c r="A105" t="s">
        <v>496</v>
      </c>
      <c r="B105" s="1" t="s">
        <v>497</v>
      </c>
      <c r="D105" s="1" t="s">
        <v>416</v>
      </c>
      <c r="E105" s="1" t="s">
        <v>417</v>
      </c>
      <c r="F105" s="1" t="s">
        <v>418</v>
      </c>
      <c r="H105" s="1" t="str">
        <f t="shared" si="1"/>
        <v>Case "么": pinyin = "Ma,Me,"</v>
      </c>
    </row>
    <row r="106" spans="1:8" ht="13.5" x14ac:dyDescent="0.15">
      <c r="A106" t="s">
        <v>304</v>
      </c>
      <c r="B106" s="1" t="s">
        <v>305</v>
      </c>
      <c r="D106" s="1" t="s">
        <v>416</v>
      </c>
      <c r="E106" s="1" t="s">
        <v>417</v>
      </c>
      <c r="F106" s="1" t="s">
        <v>418</v>
      </c>
      <c r="H106" s="1" t="str">
        <f t="shared" si="1"/>
        <v>Case "埋": pinyin = "Mai,Man,"</v>
      </c>
    </row>
    <row r="107" spans="1:8" ht="13.5" x14ac:dyDescent="0.15">
      <c r="A107" t="s">
        <v>306</v>
      </c>
      <c r="B107" s="1" t="s">
        <v>307</v>
      </c>
      <c r="D107" s="1" t="s">
        <v>416</v>
      </c>
      <c r="E107" s="1" t="s">
        <v>417</v>
      </c>
      <c r="F107" s="1" t="s">
        <v>418</v>
      </c>
      <c r="H107" s="1" t="str">
        <f t="shared" si="1"/>
        <v>Case "脉": pinyin = "Mai,Mo,"</v>
      </c>
    </row>
    <row r="108" spans="1:8" ht="13.5" x14ac:dyDescent="0.15">
      <c r="A108" t="s">
        <v>308</v>
      </c>
      <c r="B108" s="1" t="s">
        <v>309</v>
      </c>
      <c r="D108" s="1" t="s">
        <v>416</v>
      </c>
      <c r="E108" s="1" t="s">
        <v>417</v>
      </c>
      <c r="F108" s="1" t="s">
        <v>418</v>
      </c>
      <c r="H108" s="1" t="str">
        <f t="shared" si="1"/>
        <v>Case "蔓": pinyin = "Man,Wan,"</v>
      </c>
    </row>
    <row r="109" spans="1:8" ht="13.5" x14ac:dyDescent="0.15">
      <c r="A109" t="s">
        <v>310</v>
      </c>
      <c r="B109" s="1" t="s">
        <v>311</v>
      </c>
      <c r="D109" s="1" t="s">
        <v>416</v>
      </c>
      <c r="E109" s="1" t="s">
        <v>417</v>
      </c>
      <c r="F109" s="1" t="s">
        <v>418</v>
      </c>
      <c r="H109" s="1" t="str">
        <f t="shared" si="1"/>
        <v>Case "没": pinyin = "Mei,Mo,"</v>
      </c>
    </row>
    <row r="110" spans="1:8" ht="13.5" x14ac:dyDescent="0.15">
      <c r="A110" t="s">
        <v>498</v>
      </c>
      <c r="B110" s="1" t="s">
        <v>499</v>
      </c>
      <c r="D110" s="1" t="s">
        <v>416</v>
      </c>
      <c r="E110" s="1" t="s">
        <v>417</v>
      </c>
      <c r="F110" s="1" t="s">
        <v>418</v>
      </c>
      <c r="H110" s="1" t="str">
        <f t="shared" si="1"/>
        <v>Case "谋": pinyin = "Mo,Mou,"</v>
      </c>
    </row>
    <row r="111" spans="1:8" ht="13.5" x14ac:dyDescent="0.15">
      <c r="A111" t="s">
        <v>312</v>
      </c>
      <c r="B111" s="1" t="s">
        <v>313</v>
      </c>
      <c r="D111" s="1" t="s">
        <v>416</v>
      </c>
      <c r="E111" s="1" t="s">
        <v>417</v>
      </c>
      <c r="F111" s="1" t="s">
        <v>418</v>
      </c>
      <c r="H111" s="1" t="str">
        <f t="shared" si="1"/>
        <v>Case "模": pinyin = "Mo,Mu,"</v>
      </c>
    </row>
    <row r="112" spans="1:8" ht="13.5" x14ac:dyDescent="0.15">
      <c r="A112" t="s">
        <v>314</v>
      </c>
      <c r="B112" s="1" t="s">
        <v>500</v>
      </c>
      <c r="D112" s="1" t="s">
        <v>416</v>
      </c>
      <c r="E112" s="1" t="s">
        <v>417</v>
      </c>
      <c r="F112" s="1" t="s">
        <v>418</v>
      </c>
      <c r="H112" s="1" t="str">
        <f t="shared" si="1"/>
        <v>Case "哪": pinyin = "Na,Ne,Nei,"</v>
      </c>
    </row>
    <row r="113" spans="1:8" ht="13.5" x14ac:dyDescent="0.15">
      <c r="A113" t="s">
        <v>501</v>
      </c>
      <c r="B113" s="1" t="s">
        <v>502</v>
      </c>
      <c r="D113" s="1" t="s">
        <v>416</v>
      </c>
      <c r="E113" s="1" t="s">
        <v>417</v>
      </c>
      <c r="F113" s="1" t="s">
        <v>418</v>
      </c>
      <c r="H113" s="1" t="str">
        <f t="shared" si="1"/>
        <v>Case "那": pinyin = "Na,Nei,"</v>
      </c>
    </row>
    <row r="114" spans="1:8" ht="13.5" x14ac:dyDescent="0.15">
      <c r="A114" t="s">
        <v>315</v>
      </c>
      <c r="B114" s="1" t="s">
        <v>316</v>
      </c>
      <c r="D114" s="1" t="s">
        <v>416</v>
      </c>
      <c r="E114" s="1" t="s">
        <v>417</v>
      </c>
      <c r="F114" s="1" t="s">
        <v>418</v>
      </c>
      <c r="H114" s="1" t="str">
        <f t="shared" si="1"/>
        <v>Case "呢": pinyin = "Ne,Ni,"</v>
      </c>
    </row>
    <row r="115" spans="1:8" ht="13.5" x14ac:dyDescent="0.15">
      <c r="A115" t="s">
        <v>503</v>
      </c>
      <c r="B115" s="1" t="s">
        <v>504</v>
      </c>
      <c r="D115" s="1" t="s">
        <v>416</v>
      </c>
      <c r="E115" s="1" t="s">
        <v>417</v>
      </c>
      <c r="F115" s="1" t="s">
        <v>418</v>
      </c>
      <c r="H115" s="1" t="str">
        <f t="shared" si="1"/>
        <v>Case "溺": pinyin = "Ni,Niao,"</v>
      </c>
    </row>
    <row r="116" spans="1:8" ht="13.5" x14ac:dyDescent="0.15">
      <c r="A116" t="s">
        <v>505</v>
      </c>
      <c r="B116" s="1" t="s">
        <v>506</v>
      </c>
      <c r="D116" s="1" t="s">
        <v>416</v>
      </c>
      <c r="E116" s="1" t="s">
        <v>417</v>
      </c>
      <c r="F116" s="1" t="s">
        <v>418</v>
      </c>
      <c r="H116" s="1" t="str">
        <f t="shared" si="1"/>
        <v>Case "粘": pinyin = "Nian,Zhan,"</v>
      </c>
    </row>
    <row r="117" spans="1:8" ht="13.5" x14ac:dyDescent="0.15">
      <c r="A117" t="s">
        <v>317</v>
      </c>
      <c r="B117" s="1" t="s">
        <v>318</v>
      </c>
      <c r="D117" s="1" t="s">
        <v>416</v>
      </c>
      <c r="E117" s="1" t="s">
        <v>417</v>
      </c>
      <c r="F117" s="1" t="s">
        <v>418</v>
      </c>
      <c r="H117" s="1" t="str">
        <f t="shared" si="1"/>
        <v>Case "尿": pinyin = "Niao,Sui,"</v>
      </c>
    </row>
    <row r="118" spans="1:8" ht="13.5" x14ac:dyDescent="0.15">
      <c r="A118" t="s">
        <v>319</v>
      </c>
      <c r="B118" s="1" t="s">
        <v>320</v>
      </c>
      <c r="D118" s="1" t="s">
        <v>416</v>
      </c>
      <c r="E118" s="1" t="s">
        <v>417</v>
      </c>
      <c r="F118" s="1" t="s">
        <v>418</v>
      </c>
      <c r="H118" s="1" t="str">
        <f t="shared" si="1"/>
        <v>Case "喏": pinyin = "Nuo,Re,"</v>
      </c>
    </row>
    <row r="119" spans="1:8" ht="13.5" x14ac:dyDescent="0.15">
      <c r="A119" t="s">
        <v>321</v>
      </c>
      <c r="B119" s="1" t="s">
        <v>322</v>
      </c>
      <c r="D119" s="1" t="s">
        <v>416</v>
      </c>
      <c r="E119" s="1" t="s">
        <v>417</v>
      </c>
      <c r="F119" s="1" t="s">
        <v>418</v>
      </c>
      <c r="H119" s="1" t="str">
        <f t="shared" si="1"/>
        <v>Case "迫": pinyin = "Pai,Po,"</v>
      </c>
    </row>
    <row r="120" spans="1:8" ht="13.5" x14ac:dyDescent="0.15">
      <c r="A120" t="s">
        <v>323</v>
      </c>
      <c r="B120" s="1" t="s">
        <v>324</v>
      </c>
      <c r="D120" s="1" t="s">
        <v>416</v>
      </c>
      <c r="E120" s="1" t="s">
        <v>417</v>
      </c>
      <c r="F120" s="1" t="s">
        <v>418</v>
      </c>
      <c r="H120" s="1" t="str">
        <f t="shared" si="1"/>
        <v>Case "胖": pinyin = "Pan,Pang,"</v>
      </c>
    </row>
    <row r="121" spans="1:8" ht="13.5" x14ac:dyDescent="0.15">
      <c r="A121" t="s">
        <v>154</v>
      </c>
      <c r="B121" s="1" t="s">
        <v>507</v>
      </c>
      <c r="D121" s="1" t="s">
        <v>416</v>
      </c>
      <c r="E121" s="1" t="s">
        <v>417</v>
      </c>
      <c r="F121" s="1" t="s">
        <v>418</v>
      </c>
      <c r="H121" s="1" t="str">
        <f t="shared" si="1"/>
        <v>Case "陂": pinyin = "Pi,Po,"</v>
      </c>
    </row>
    <row r="122" spans="1:8" ht="13.5" x14ac:dyDescent="0.15">
      <c r="A122" t="s">
        <v>325</v>
      </c>
      <c r="B122" s="1" t="s">
        <v>326</v>
      </c>
      <c r="D122" s="1" t="s">
        <v>416</v>
      </c>
      <c r="E122" s="1" t="s">
        <v>417</v>
      </c>
      <c r="F122" s="1" t="s">
        <v>418</v>
      </c>
      <c r="H122" s="1" t="str">
        <f t="shared" si="1"/>
        <v>Case "朴": pinyin = "Piao,Po,Pu,"</v>
      </c>
    </row>
    <row r="123" spans="1:8" ht="13.5" x14ac:dyDescent="0.15">
      <c r="A123" t="s">
        <v>508</v>
      </c>
      <c r="B123" s="1" t="s">
        <v>327</v>
      </c>
      <c r="D123" s="1" t="s">
        <v>416</v>
      </c>
      <c r="E123" s="1" t="s">
        <v>417</v>
      </c>
      <c r="F123" s="1" t="s">
        <v>418</v>
      </c>
      <c r="H123" s="1" t="str">
        <f t="shared" si="1"/>
        <v>Case "栖": pinyin = "Qi,Xi,"</v>
      </c>
    </row>
    <row r="124" spans="1:8" ht="13.5" x14ac:dyDescent="0.15">
      <c r="A124" t="s">
        <v>509</v>
      </c>
      <c r="B124" s="1" t="s">
        <v>510</v>
      </c>
      <c r="D124" s="1" t="s">
        <v>416</v>
      </c>
      <c r="E124" s="1" t="s">
        <v>417</v>
      </c>
      <c r="F124" s="1" t="s">
        <v>418</v>
      </c>
      <c r="H124" s="1" t="str">
        <f t="shared" si="1"/>
        <v>Case "祗": pinyin = "Qi,Zhi,"</v>
      </c>
    </row>
    <row r="125" spans="1:8" ht="13.5" x14ac:dyDescent="0.15">
      <c r="A125" t="s">
        <v>328</v>
      </c>
      <c r="B125" s="1" t="s">
        <v>329</v>
      </c>
      <c r="D125" s="1" t="s">
        <v>416</v>
      </c>
      <c r="E125" s="1" t="s">
        <v>417</v>
      </c>
      <c r="F125" s="1" t="s">
        <v>418</v>
      </c>
      <c r="H125" s="1" t="str">
        <f t="shared" si="1"/>
        <v>Case "纤": pinyin = "Qian,Xian,"</v>
      </c>
    </row>
    <row r="126" spans="1:8" ht="13.5" x14ac:dyDescent="0.15">
      <c r="A126" t="s">
        <v>332</v>
      </c>
      <c r="B126" s="1" t="s">
        <v>333</v>
      </c>
      <c r="D126" s="1" t="s">
        <v>416</v>
      </c>
      <c r="E126" s="1" t="s">
        <v>417</v>
      </c>
      <c r="F126" s="1" t="s">
        <v>418</v>
      </c>
      <c r="H126" s="1" t="str">
        <f t="shared" si="1"/>
        <v>Case "茜": pinyin = "Qian,Xi,"</v>
      </c>
    </row>
    <row r="127" spans="1:8" ht="13.5" x14ac:dyDescent="0.15">
      <c r="A127" t="s">
        <v>330</v>
      </c>
      <c r="B127" s="1" t="s">
        <v>331</v>
      </c>
      <c r="D127" s="1" t="s">
        <v>416</v>
      </c>
      <c r="E127" s="1" t="s">
        <v>417</v>
      </c>
      <c r="F127" s="1" t="s">
        <v>418</v>
      </c>
      <c r="H127" s="1" t="str">
        <f t="shared" si="1"/>
        <v>Case "慊": pinyin = "Qian,Qie,"</v>
      </c>
    </row>
    <row r="128" spans="1:8" ht="13.5" x14ac:dyDescent="0.15">
      <c r="A128" t="s">
        <v>336</v>
      </c>
      <c r="B128" s="1" t="s">
        <v>337</v>
      </c>
      <c r="D128" s="1" t="s">
        <v>416</v>
      </c>
      <c r="E128" s="1" t="s">
        <v>417</v>
      </c>
      <c r="F128" s="1" t="s">
        <v>418</v>
      </c>
      <c r="H128" s="1" t="str">
        <f t="shared" si="1"/>
        <v>Case "雀": pinyin = "Qiao,Que,"</v>
      </c>
    </row>
    <row r="129" spans="1:8" ht="13.5" x14ac:dyDescent="0.15">
      <c r="A129" t="s">
        <v>334</v>
      </c>
      <c r="B129" s="1" t="s">
        <v>335</v>
      </c>
      <c r="D129" s="1" t="s">
        <v>416</v>
      </c>
      <c r="E129" s="1" t="s">
        <v>417</v>
      </c>
      <c r="F129" s="1" t="s">
        <v>418</v>
      </c>
      <c r="H129" s="1" t="str">
        <f t="shared" si="1"/>
        <v>Case "鞘": pinyin = "Qiao,Shao,"</v>
      </c>
    </row>
    <row r="130" spans="1:8" ht="13.5" x14ac:dyDescent="0.15">
      <c r="A130" t="s">
        <v>338</v>
      </c>
      <c r="B130" s="1" t="s">
        <v>339</v>
      </c>
      <c r="D130" s="1" t="s">
        <v>416</v>
      </c>
      <c r="E130" s="1" t="s">
        <v>417</v>
      </c>
      <c r="F130" s="1" t="s">
        <v>418</v>
      </c>
      <c r="H130" s="1" t="str">
        <f t="shared" ref="H130:H184" si="2">D130&amp;A130&amp;E130&amp;B130&amp;F130</f>
        <v>Case "亲": pinyin = "Qin,Qing,"</v>
      </c>
    </row>
    <row r="131" spans="1:8" ht="13.5" x14ac:dyDescent="0.15">
      <c r="A131" t="s">
        <v>340</v>
      </c>
      <c r="B131" s="1" t="s">
        <v>341</v>
      </c>
      <c r="D131" s="1" t="s">
        <v>416</v>
      </c>
      <c r="E131" s="1" t="s">
        <v>417</v>
      </c>
      <c r="F131" s="1" t="s">
        <v>418</v>
      </c>
      <c r="H131" s="1" t="str">
        <f t="shared" si="2"/>
        <v>Case "塞": pinyin = "Sai,Se,"</v>
      </c>
    </row>
    <row r="132" spans="1:8" ht="13.5" x14ac:dyDescent="0.15">
      <c r="A132" t="s">
        <v>511</v>
      </c>
      <c r="B132" s="1" t="s">
        <v>512</v>
      </c>
      <c r="D132" s="1" t="s">
        <v>416</v>
      </c>
      <c r="E132" s="1" t="s">
        <v>417</v>
      </c>
      <c r="F132" s="1" t="s">
        <v>418</v>
      </c>
      <c r="H132" s="1" t="str">
        <f t="shared" si="2"/>
        <v>Case "糁": pinyin = "San,Shen,"</v>
      </c>
    </row>
    <row r="133" spans="1:8" ht="13.5" x14ac:dyDescent="0.15">
      <c r="A133" t="s">
        <v>342</v>
      </c>
      <c r="B133" s="1" t="s">
        <v>343</v>
      </c>
      <c r="D133" s="1" t="s">
        <v>416</v>
      </c>
      <c r="E133" s="1" t="s">
        <v>417</v>
      </c>
      <c r="F133" s="1" t="s">
        <v>418</v>
      </c>
      <c r="H133" s="1" t="str">
        <f t="shared" si="2"/>
        <v>Case "色": pinyin = "Se,Shai,"</v>
      </c>
    </row>
    <row r="134" spans="1:8" ht="13.5" x14ac:dyDescent="0.15">
      <c r="A134" t="s">
        <v>344</v>
      </c>
      <c r="B134" s="1" t="s">
        <v>345</v>
      </c>
      <c r="D134" s="1" t="s">
        <v>416</v>
      </c>
      <c r="E134" s="1" t="s">
        <v>417</v>
      </c>
      <c r="F134" s="1" t="s">
        <v>418</v>
      </c>
      <c r="H134" s="1" t="str">
        <f t="shared" si="2"/>
        <v>Case "厦": pinyin = "Sha,Xia,"</v>
      </c>
    </row>
    <row r="135" spans="1:8" ht="13.5" x14ac:dyDescent="0.15">
      <c r="A135" t="s">
        <v>346</v>
      </c>
      <c r="B135" s="1" t="s">
        <v>347</v>
      </c>
      <c r="D135" s="1" t="s">
        <v>416</v>
      </c>
      <c r="E135" s="1" t="s">
        <v>417</v>
      </c>
      <c r="F135" s="1" t="s">
        <v>418</v>
      </c>
      <c r="H135" s="1" t="str">
        <f t="shared" si="2"/>
        <v>Case "栅": pinyin = "Shan,Zha,"</v>
      </c>
    </row>
    <row r="136" spans="1:8" ht="13.5" x14ac:dyDescent="0.15">
      <c r="A136" t="s">
        <v>348</v>
      </c>
      <c r="B136" s="1" t="s">
        <v>349</v>
      </c>
      <c r="D136" s="1" t="s">
        <v>416</v>
      </c>
      <c r="E136" s="1" t="s">
        <v>417</v>
      </c>
      <c r="F136" s="1" t="s">
        <v>418</v>
      </c>
      <c r="H136" s="1" t="str">
        <f t="shared" si="2"/>
        <v>Case "苕": pinyin = "Shao,Tiao,"</v>
      </c>
    </row>
    <row r="137" spans="1:8" ht="13.5" x14ac:dyDescent="0.15">
      <c r="A137" t="s">
        <v>350</v>
      </c>
      <c r="B137" s="1" t="s">
        <v>351</v>
      </c>
      <c r="D137" s="1" t="s">
        <v>416</v>
      </c>
      <c r="E137" s="1" t="s">
        <v>417</v>
      </c>
      <c r="F137" s="1" t="s">
        <v>418</v>
      </c>
      <c r="H137" s="1" t="str">
        <f t="shared" si="2"/>
        <v>Case "折": pinyin = "She,Zhe,"</v>
      </c>
    </row>
    <row r="138" spans="1:8" ht="13.5" x14ac:dyDescent="0.15">
      <c r="A138" t="s">
        <v>513</v>
      </c>
      <c r="B138" s="1" t="s">
        <v>514</v>
      </c>
      <c r="D138" s="1" t="s">
        <v>416</v>
      </c>
      <c r="E138" s="1" t="s">
        <v>417</v>
      </c>
      <c r="F138" s="1" t="s">
        <v>418</v>
      </c>
      <c r="H138" s="1" t="str">
        <f t="shared" si="2"/>
        <v>Case "谁": pinyin = "Shei,Shui,"</v>
      </c>
    </row>
    <row r="139" spans="1:8" ht="13.5" x14ac:dyDescent="0.15">
      <c r="A139" t="s">
        <v>354</v>
      </c>
      <c r="B139" s="1" t="s">
        <v>355</v>
      </c>
      <c r="D139" s="1" t="s">
        <v>416</v>
      </c>
      <c r="E139" s="1" t="s">
        <v>417</v>
      </c>
      <c r="F139" s="1" t="s">
        <v>418</v>
      </c>
      <c r="H139" s="1" t="str">
        <f t="shared" si="2"/>
        <v>Case "莘": pinyin = "Shen,Xin,"</v>
      </c>
    </row>
    <row r="140" spans="1:8" ht="13.5" x14ac:dyDescent="0.15">
      <c r="A140" t="s">
        <v>352</v>
      </c>
      <c r="B140" s="1" t="s">
        <v>353</v>
      </c>
      <c r="D140" s="1" t="s">
        <v>416</v>
      </c>
      <c r="E140" s="1" t="s">
        <v>417</v>
      </c>
      <c r="F140" s="1" t="s">
        <v>418</v>
      </c>
      <c r="H140" s="1" t="str">
        <f t="shared" si="2"/>
        <v>Case "什": pinyin = "Shen,Shi,"</v>
      </c>
    </row>
    <row r="141" spans="1:8" ht="13.5" x14ac:dyDescent="0.15">
      <c r="A141" t="s">
        <v>356</v>
      </c>
      <c r="B141" s="1" t="s">
        <v>357</v>
      </c>
      <c r="D141" s="1" t="s">
        <v>416</v>
      </c>
      <c r="E141" s="1" t="s">
        <v>417</v>
      </c>
      <c r="F141" s="1" t="s">
        <v>418</v>
      </c>
      <c r="H141" s="1" t="str">
        <f t="shared" si="2"/>
        <v>Case "省": pinyin = "Sheng,Xing,"</v>
      </c>
    </row>
    <row r="142" spans="1:8" ht="13.5" x14ac:dyDescent="0.15">
      <c r="A142" t="s">
        <v>515</v>
      </c>
      <c r="B142" s="1" t="s">
        <v>516</v>
      </c>
      <c r="D142" s="1" t="s">
        <v>416</v>
      </c>
      <c r="E142" s="1" t="s">
        <v>417</v>
      </c>
      <c r="F142" s="1" t="s">
        <v>418</v>
      </c>
      <c r="H142" s="1" t="str">
        <f t="shared" si="2"/>
        <v>Case "嘘": pinyin = "Shi,Xu,"</v>
      </c>
    </row>
    <row r="143" spans="1:8" ht="13.5" x14ac:dyDescent="0.15">
      <c r="A143" t="s">
        <v>358</v>
      </c>
      <c r="B143" s="1" t="s">
        <v>359</v>
      </c>
      <c r="D143" s="1" t="s">
        <v>416</v>
      </c>
      <c r="E143" s="1" t="s">
        <v>417</v>
      </c>
      <c r="F143" s="1" t="s">
        <v>418</v>
      </c>
      <c r="H143" s="1" t="str">
        <f t="shared" si="2"/>
        <v>Case "识": pinyin = "Shi,Zhi,"</v>
      </c>
    </row>
    <row r="144" spans="1:8" ht="13.5" x14ac:dyDescent="0.15">
      <c r="A144" t="s">
        <v>517</v>
      </c>
      <c r="B144" s="1" t="s">
        <v>361</v>
      </c>
      <c r="D144" s="1" t="s">
        <v>416</v>
      </c>
      <c r="E144" s="1" t="s">
        <v>417</v>
      </c>
      <c r="F144" s="1" t="s">
        <v>418</v>
      </c>
      <c r="H144" s="1" t="str">
        <f t="shared" si="2"/>
        <v>Case "食": pinyin = "Shi,Si,"</v>
      </c>
    </row>
    <row r="145" spans="1:8" ht="13.5" x14ac:dyDescent="0.15">
      <c r="A145" t="s">
        <v>360</v>
      </c>
      <c r="B145" s="1" t="s">
        <v>361</v>
      </c>
      <c r="D145" s="1" t="s">
        <v>416</v>
      </c>
      <c r="E145" s="1" t="s">
        <v>417</v>
      </c>
      <c r="F145" s="1" t="s">
        <v>418</v>
      </c>
      <c r="H145" s="1" t="str">
        <f t="shared" si="2"/>
        <v>Case "似": pinyin = "Shi,Si,"</v>
      </c>
    </row>
    <row r="146" spans="1:8" ht="13.5" x14ac:dyDescent="0.15">
      <c r="A146" t="s">
        <v>362</v>
      </c>
      <c r="B146" s="1" t="s">
        <v>359</v>
      </c>
      <c r="D146" s="1" t="s">
        <v>416</v>
      </c>
      <c r="E146" s="1" t="s">
        <v>417</v>
      </c>
      <c r="F146" s="1" t="s">
        <v>418</v>
      </c>
      <c r="H146" s="1" t="str">
        <f t="shared" si="2"/>
        <v>Case "峙": pinyin = "Shi,Zhi,"</v>
      </c>
    </row>
    <row r="147" spans="1:8" ht="13.5" x14ac:dyDescent="0.15">
      <c r="A147" t="s">
        <v>518</v>
      </c>
      <c r="B147" s="1" t="s">
        <v>519</v>
      </c>
      <c r="D147" s="1" t="s">
        <v>416</v>
      </c>
      <c r="E147" s="1" t="s">
        <v>417</v>
      </c>
      <c r="F147" s="1" t="s">
        <v>418</v>
      </c>
      <c r="H147" s="1" t="str">
        <f t="shared" si="2"/>
        <v>Case "螫": pinyin = "Shi,Zhe,"</v>
      </c>
    </row>
    <row r="148" spans="1:8" ht="13.5" x14ac:dyDescent="0.15">
      <c r="A148" t="s">
        <v>520</v>
      </c>
      <c r="B148" s="1" t="s">
        <v>521</v>
      </c>
      <c r="D148" s="1" t="s">
        <v>416</v>
      </c>
      <c r="E148" s="1" t="s">
        <v>417</v>
      </c>
      <c r="F148" s="1" t="s">
        <v>418</v>
      </c>
      <c r="H148" s="1" t="str">
        <f t="shared" si="2"/>
        <v>Case "熟": pinyin = "Shou,Shu,"</v>
      </c>
    </row>
    <row r="149" spans="1:8" ht="13.5" x14ac:dyDescent="0.15">
      <c r="A149" t="s">
        <v>365</v>
      </c>
      <c r="B149" s="1" t="s">
        <v>366</v>
      </c>
      <c r="D149" s="1" t="s">
        <v>416</v>
      </c>
      <c r="E149" s="1" t="s">
        <v>417</v>
      </c>
      <c r="F149" s="1" t="s">
        <v>418</v>
      </c>
      <c r="H149" s="1" t="str">
        <f t="shared" si="2"/>
        <v>Case "属": pinyin = "Shu,Zhu,"</v>
      </c>
    </row>
    <row r="150" spans="1:8" ht="13.5" x14ac:dyDescent="0.15">
      <c r="A150" t="s">
        <v>363</v>
      </c>
      <c r="B150" s="1" t="s">
        <v>364</v>
      </c>
      <c r="D150" s="1" t="s">
        <v>416</v>
      </c>
      <c r="E150" s="1" t="s">
        <v>417</v>
      </c>
      <c r="F150" s="1" t="s">
        <v>418</v>
      </c>
      <c r="H150" s="1" t="str">
        <f t="shared" si="2"/>
        <v>Case "数": pinyin = "Shu,Shuo,"</v>
      </c>
    </row>
    <row r="151" spans="1:8" ht="13.5" x14ac:dyDescent="0.15">
      <c r="A151" t="s">
        <v>367</v>
      </c>
      <c r="B151" s="1" t="s">
        <v>366</v>
      </c>
      <c r="D151" s="1" t="s">
        <v>416</v>
      </c>
      <c r="E151" s="1" t="s">
        <v>417</v>
      </c>
      <c r="F151" s="1" t="s">
        <v>418</v>
      </c>
      <c r="H151" s="1" t="str">
        <f t="shared" si="2"/>
        <v>Case "术": pinyin = "Shu,Zhu,"</v>
      </c>
    </row>
    <row r="152" spans="1:8" ht="13.5" x14ac:dyDescent="0.15">
      <c r="A152" t="s">
        <v>368</v>
      </c>
      <c r="B152" s="1" t="s">
        <v>522</v>
      </c>
      <c r="D152" s="1" t="s">
        <v>416</v>
      </c>
      <c r="E152" s="1" t="s">
        <v>417</v>
      </c>
      <c r="F152" s="1" t="s">
        <v>418</v>
      </c>
      <c r="H152" s="1" t="str">
        <f t="shared" si="2"/>
        <v>Case "说": pinyin = "Shui,Shuo,"</v>
      </c>
    </row>
    <row r="153" spans="1:8" ht="13.5" x14ac:dyDescent="0.15">
      <c r="A153" t="s">
        <v>369</v>
      </c>
      <c r="B153" s="1" t="s">
        <v>370</v>
      </c>
      <c r="D153" s="1" t="s">
        <v>416</v>
      </c>
      <c r="E153" s="1" t="s">
        <v>417</v>
      </c>
      <c r="F153" s="1" t="s">
        <v>418</v>
      </c>
      <c r="H153" s="1" t="str">
        <f t="shared" si="2"/>
        <v>Case "宿": pinyin = "Su,Xiu,"</v>
      </c>
    </row>
    <row r="154" spans="1:8" ht="13.5" x14ac:dyDescent="0.15">
      <c r="A154" t="s">
        <v>371</v>
      </c>
      <c r="B154" s="1" t="s">
        <v>372</v>
      </c>
      <c r="D154" s="1" t="s">
        <v>416</v>
      </c>
      <c r="E154" s="1" t="s">
        <v>417</v>
      </c>
      <c r="F154" s="1" t="s">
        <v>418</v>
      </c>
      <c r="H154" s="1" t="str">
        <f t="shared" si="2"/>
        <v>Case "缩": pinyin = "Su,Suo,"</v>
      </c>
    </row>
    <row r="155" spans="1:8" ht="13.5" x14ac:dyDescent="0.15">
      <c r="A155" t="s">
        <v>373</v>
      </c>
      <c r="B155" s="1" t="s">
        <v>374</v>
      </c>
      <c r="D155" s="1" t="s">
        <v>416</v>
      </c>
      <c r="E155" s="1" t="s">
        <v>417</v>
      </c>
      <c r="F155" s="1" t="s">
        <v>418</v>
      </c>
      <c r="H155" s="1" t="str">
        <f t="shared" si="2"/>
        <v>Case "拓": pinyin = "Ta,Tuo,"</v>
      </c>
    </row>
    <row r="156" spans="1:8" ht="13.5" x14ac:dyDescent="0.15">
      <c r="A156" t="s">
        <v>523</v>
      </c>
      <c r="B156" s="1" t="s">
        <v>524</v>
      </c>
      <c r="D156" s="1" t="s">
        <v>416</v>
      </c>
      <c r="E156" s="1" t="s">
        <v>417</v>
      </c>
      <c r="F156" s="1" t="s">
        <v>418</v>
      </c>
      <c r="H156" s="1" t="str">
        <f t="shared" si="2"/>
        <v>Case "忒": pinyin = "Te,Tui,"</v>
      </c>
    </row>
    <row r="157" spans="1:8" ht="13.5" x14ac:dyDescent="0.15">
      <c r="A157" t="s">
        <v>525</v>
      </c>
      <c r="B157" s="1" t="s">
        <v>526</v>
      </c>
      <c r="D157" s="1" t="s">
        <v>416</v>
      </c>
      <c r="E157" s="1" t="s">
        <v>417</v>
      </c>
      <c r="F157" s="1" t="s">
        <v>418</v>
      </c>
      <c r="H157" s="1" t="str">
        <f t="shared" si="2"/>
        <v>Case "僮": pinyin = "Tong,Zhuang,"</v>
      </c>
    </row>
    <row r="158" spans="1:8" ht="13.5" x14ac:dyDescent="0.15">
      <c r="A158" t="s">
        <v>375</v>
      </c>
      <c r="B158" s="1" t="s">
        <v>376</v>
      </c>
      <c r="D158" s="1" t="s">
        <v>416</v>
      </c>
      <c r="E158" s="1" t="s">
        <v>417</v>
      </c>
      <c r="F158" s="1" t="s">
        <v>418</v>
      </c>
      <c r="H158" s="1" t="str">
        <f t="shared" si="2"/>
        <v>Case "褪": pinyin = "Tui,Tun,"</v>
      </c>
    </row>
    <row r="159" spans="1:8" ht="13.5" x14ac:dyDescent="0.15">
      <c r="A159" t="s">
        <v>382</v>
      </c>
      <c r="B159" s="1" t="s">
        <v>383</v>
      </c>
      <c r="D159" s="1" t="s">
        <v>416</v>
      </c>
      <c r="E159" s="1" t="s">
        <v>417</v>
      </c>
      <c r="F159" s="1" t="s">
        <v>418</v>
      </c>
      <c r="H159" s="1" t="str">
        <f t="shared" si="2"/>
        <v>Case "圩": pinyin = "Wei,Xu,"</v>
      </c>
    </row>
    <row r="160" spans="1:8" ht="13.5" x14ac:dyDescent="0.15">
      <c r="A160" t="s">
        <v>377</v>
      </c>
      <c r="B160" s="1" t="s">
        <v>378</v>
      </c>
      <c r="D160" s="1" t="s">
        <v>416</v>
      </c>
      <c r="E160" s="1" t="s">
        <v>417</v>
      </c>
      <c r="F160" s="1" t="s">
        <v>418</v>
      </c>
      <c r="H160" s="1" t="str">
        <f t="shared" si="2"/>
        <v>Case "尾": pinyin = "Wei,Yi,"</v>
      </c>
    </row>
    <row r="161" spans="1:8" ht="13.5" x14ac:dyDescent="0.15">
      <c r="A161" t="s">
        <v>381</v>
      </c>
      <c r="B161" s="1" t="s">
        <v>380</v>
      </c>
      <c r="D161" s="1" t="s">
        <v>416</v>
      </c>
      <c r="E161" s="1" t="s">
        <v>417</v>
      </c>
      <c r="F161" s="1" t="s">
        <v>418</v>
      </c>
      <c r="H161" s="1" t="str">
        <f t="shared" si="2"/>
        <v>Case "尉": pinyin = "Wei,Yu,"</v>
      </c>
    </row>
    <row r="162" spans="1:8" ht="13.5" x14ac:dyDescent="0.15">
      <c r="A162" t="s">
        <v>379</v>
      </c>
      <c r="B162" s="1" t="s">
        <v>380</v>
      </c>
      <c r="D162" s="1" t="s">
        <v>416</v>
      </c>
      <c r="E162" s="1" t="s">
        <v>417</v>
      </c>
      <c r="F162" s="1" t="s">
        <v>418</v>
      </c>
      <c r="H162" s="1" t="str">
        <f t="shared" si="2"/>
        <v>Case "蔚": pinyin = "Wei,Yu,"</v>
      </c>
    </row>
    <row r="163" spans="1:8" ht="13.5" x14ac:dyDescent="0.15">
      <c r="A163" t="s">
        <v>384</v>
      </c>
      <c r="B163" s="1" t="s">
        <v>385</v>
      </c>
      <c r="D163" s="1" t="s">
        <v>416</v>
      </c>
      <c r="E163" s="1" t="s">
        <v>417</v>
      </c>
      <c r="F163" s="1" t="s">
        <v>418</v>
      </c>
      <c r="H163" s="1" t="str">
        <f t="shared" si="2"/>
        <v>Case "削": pinyin = "Xiao,Xue,"</v>
      </c>
    </row>
    <row r="164" spans="1:8" ht="13.5" x14ac:dyDescent="0.15">
      <c r="A164" t="s">
        <v>386</v>
      </c>
      <c r="B164" s="1" t="s">
        <v>387</v>
      </c>
      <c r="D164" s="1" t="s">
        <v>416</v>
      </c>
      <c r="E164" s="1" t="s">
        <v>417</v>
      </c>
      <c r="F164" s="1" t="s">
        <v>418</v>
      </c>
      <c r="H164" s="1" t="str">
        <f t="shared" si="2"/>
        <v>Case "血": pinyin = "Xie,Xue,"</v>
      </c>
    </row>
    <row r="165" spans="1:8" ht="13.5" x14ac:dyDescent="0.15">
      <c r="A165" t="s">
        <v>388</v>
      </c>
      <c r="B165" s="1" t="s">
        <v>389</v>
      </c>
      <c r="D165" s="1" t="s">
        <v>416</v>
      </c>
      <c r="E165" s="1" t="s">
        <v>417</v>
      </c>
      <c r="F165" s="1" t="s">
        <v>418</v>
      </c>
      <c r="H165" s="1" t="str">
        <f t="shared" si="2"/>
        <v>Case "吁": pinyin = "Xu,Yu,"</v>
      </c>
    </row>
    <row r="166" spans="1:8" ht="13.5" x14ac:dyDescent="0.15">
      <c r="A166" t="s">
        <v>390</v>
      </c>
      <c r="B166" s="1" t="s">
        <v>391</v>
      </c>
      <c r="D166" s="1" t="s">
        <v>416</v>
      </c>
      <c r="E166" s="1" t="s">
        <v>417</v>
      </c>
      <c r="F166" s="1" t="s">
        <v>418</v>
      </c>
      <c r="H166" s="1" t="str">
        <f t="shared" si="2"/>
        <v>Case "轧": pinyin = "Ya,Zha,"</v>
      </c>
    </row>
    <row r="167" spans="1:8" ht="13.5" x14ac:dyDescent="0.15">
      <c r="A167" t="s">
        <v>392</v>
      </c>
      <c r="B167" s="1" t="s">
        <v>393</v>
      </c>
      <c r="D167" s="1" t="s">
        <v>416</v>
      </c>
      <c r="E167" s="1" t="s">
        <v>417</v>
      </c>
      <c r="F167" s="1" t="s">
        <v>418</v>
      </c>
      <c r="H167" s="1" t="str">
        <f t="shared" si="2"/>
        <v>Case "殷": pinyin = "Yan,Yin,"</v>
      </c>
    </row>
    <row r="168" spans="1:8" ht="13.5" x14ac:dyDescent="0.15">
      <c r="A168" t="s">
        <v>394</v>
      </c>
      <c r="B168" s="1" t="s">
        <v>395</v>
      </c>
      <c r="D168" s="1" t="s">
        <v>416</v>
      </c>
      <c r="E168" s="1" t="s">
        <v>417</v>
      </c>
      <c r="F168" s="1" t="s">
        <v>418</v>
      </c>
      <c r="H168" s="1" t="str">
        <f t="shared" si="2"/>
        <v>Case "芫": pinyin = "Yan,Yuan,"</v>
      </c>
    </row>
    <row r="169" spans="1:8" ht="13.5" x14ac:dyDescent="0.15">
      <c r="A169" t="s">
        <v>527</v>
      </c>
      <c r="B169" s="1" t="s">
        <v>397</v>
      </c>
      <c r="D169" s="1" t="s">
        <v>416</v>
      </c>
      <c r="E169" s="1" t="s">
        <v>417</v>
      </c>
      <c r="F169" s="1" t="s">
        <v>418</v>
      </c>
      <c r="H169" s="1" t="str">
        <f t="shared" si="2"/>
        <v>Case "约": pinyin = "Yao,Yue,"</v>
      </c>
    </row>
    <row r="170" spans="1:8" ht="13.5" x14ac:dyDescent="0.15">
      <c r="A170" t="s">
        <v>396</v>
      </c>
      <c r="B170" s="1" t="s">
        <v>397</v>
      </c>
      <c r="D170" s="1" t="s">
        <v>416</v>
      </c>
      <c r="E170" s="1" t="s">
        <v>417</v>
      </c>
      <c r="F170" s="1" t="s">
        <v>418</v>
      </c>
      <c r="H170" s="1" t="str">
        <f t="shared" si="2"/>
        <v>Case "钥": pinyin = "Yao,Yue,"</v>
      </c>
    </row>
    <row r="171" spans="1:8" ht="13.5" x14ac:dyDescent="0.15">
      <c r="A171" t="s">
        <v>398</v>
      </c>
      <c r="B171" s="1" t="s">
        <v>399</v>
      </c>
      <c r="D171" s="1" t="s">
        <v>416</v>
      </c>
      <c r="E171" s="1" t="s">
        <v>417</v>
      </c>
      <c r="F171" s="1" t="s">
        <v>418</v>
      </c>
      <c r="H171" s="1" t="str">
        <f t="shared" si="2"/>
        <v>Case "熨": pinyin = "Yu,Yun,"</v>
      </c>
    </row>
    <row r="172" spans="1:8" ht="13.5" x14ac:dyDescent="0.15">
      <c r="A172" t="s">
        <v>400</v>
      </c>
      <c r="B172" s="1" t="s">
        <v>401</v>
      </c>
      <c r="D172" s="1" t="s">
        <v>416</v>
      </c>
      <c r="E172" s="1" t="s">
        <v>417</v>
      </c>
      <c r="F172" s="1" t="s">
        <v>418</v>
      </c>
      <c r="H172" s="1" t="str">
        <f t="shared" si="2"/>
        <v>Case "员": pinyin = "Yuan,Yun,"</v>
      </c>
    </row>
    <row r="173" spans="1:8" ht="13.5" x14ac:dyDescent="0.15">
      <c r="A173" t="s">
        <v>406</v>
      </c>
      <c r="B173" s="1" t="s">
        <v>407</v>
      </c>
      <c r="D173" s="1" t="s">
        <v>416</v>
      </c>
      <c r="E173" s="1" t="s">
        <v>417</v>
      </c>
      <c r="F173" s="1" t="s">
        <v>418</v>
      </c>
      <c r="H173" s="1" t="str">
        <f t="shared" si="2"/>
        <v>Case "拶": pinyin = "Za,Zan,"</v>
      </c>
    </row>
    <row r="174" spans="1:8" ht="13.5" x14ac:dyDescent="0.15">
      <c r="A174" t="s">
        <v>402</v>
      </c>
      <c r="B174" s="1" t="s">
        <v>403</v>
      </c>
      <c r="D174" s="1" t="s">
        <v>416</v>
      </c>
      <c r="E174" s="1" t="s">
        <v>417</v>
      </c>
      <c r="F174" s="1" t="s">
        <v>418</v>
      </c>
      <c r="H174" s="1" t="str">
        <f t="shared" si="2"/>
        <v>Case "咋": pinyin = "Za,Ze,Zha,"</v>
      </c>
    </row>
    <row r="175" spans="1:8" ht="13.5" x14ac:dyDescent="0.15">
      <c r="A175" t="s">
        <v>404</v>
      </c>
      <c r="B175" s="1" t="s">
        <v>405</v>
      </c>
      <c r="D175" s="1" t="s">
        <v>416</v>
      </c>
      <c r="E175" s="1" t="s">
        <v>417</v>
      </c>
      <c r="F175" s="1" t="s">
        <v>418</v>
      </c>
      <c r="H175" s="1" t="str">
        <f t="shared" si="2"/>
        <v>Case "扎": pinyin = "Za,Zha,"</v>
      </c>
    </row>
    <row r="176" spans="1:8" ht="13.5" x14ac:dyDescent="0.15">
      <c r="A176" t="s">
        <v>528</v>
      </c>
      <c r="B176" s="1" t="s">
        <v>529</v>
      </c>
      <c r="D176" s="1" t="s">
        <v>416</v>
      </c>
      <c r="E176" s="1" t="s">
        <v>417</v>
      </c>
      <c r="F176" s="1" t="s">
        <v>418</v>
      </c>
      <c r="H176" s="1" t="str">
        <f t="shared" si="2"/>
        <v>Case "仔": pinyin = "Zai,Zi,"</v>
      </c>
    </row>
    <row r="177" spans="1:8" ht="13.5" x14ac:dyDescent="0.15">
      <c r="A177" t="s">
        <v>530</v>
      </c>
      <c r="B177" s="1" t="s">
        <v>531</v>
      </c>
      <c r="D177" s="1" t="s">
        <v>416</v>
      </c>
      <c r="E177" s="1" t="s">
        <v>417</v>
      </c>
      <c r="F177" s="1" t="s">
        <v>418</v>
      </c>
      <c r="H177" s="1" t="str">
        <f t="shared" si="2"/>
        <v>Case "奘": pinyin = "Zang,Zhuang,"</v>
      </c>
    </row>
    <row r="178" spans="1:8" ht="13.5" x14ac:dyDescent="0.15">
      <c r="A178" t="s">
        <v>408</v>
      </c>
      <c r="B178" s="1" t="s">
        <v>409</v>
      </c>
      <c r="D178" s="1" t="s">
        <v>416</v>
      </c>
      <c r="E178" s="1" t="s">
        <v>417</v>
      </c>
      <c r="F178" s="1" t="s">
        <v>418</v>
      </c>
      <c r="H178" s="1" t="str">
        <f t="shared" si="2"/>
        <v>Case "择": pinyin = "Ze,Zhai,"</v>
      </c>
    </row>
    <row r="179" spans="1:8" ht="13.5" x14ac:dyDescent="0.15">
      <c r="A179" t="s">
        <v>410</v>
      </c>
      <c r="B179" s="1" t="s">
        <v>411</v>
      </c>
      <c r="D179" s="1" t="s">
        <v>416</v>
      </c>
      <c r="E179" s="1" t="s">
        <v>417</v>
      </c>
      <c r="F179" s="1" t="s">
        <v>418</v>
      </c>
      <c r="H179" s="1" t="str">
        <f t="shared" si="2"/>
        <v>Case "着": pinyin = "Zhao,Zhe,Zhuo,"</v>
      </c>
    </row>
    <row r="180" spans="1:8" ht="13.5" x14ac:dyDescent="0.15">
      <c r="A180" t="s">
        <v>412</v>
      </c>
      <c r="B180" s="1" t="s">
        <v>413</v>
      </c>
      <c r="D180" s="1" t="s">
        <v>416</v>
      </c>
      <c r="E180" s="1" t="s">
        <v>417</v>
      </c>
      <c r="F180" s="1" t="s">
        <v>418</v>
      </c>
      <c r="H180" s="1" t="str">
        <f t="shared" si="2"/>
        <v>Case "爪": pinyin = "Zhao,Zhua,"</v>
      </c>
    </row>
    <row r="181" spans="1:8" ht="13.5" x14ac:dyDescent="0.15">
      <c r="A181" t="s">
        <v>532</v>
      </c>
      <c r="B181" s="1" t="s">
        <v>533</v>
      </c>
      <c r="D181" s="1" t="s">
        <v>416</v>
      </c>
      <c r="E181" s="1" t="s">
        <v>417</v>
      </c>
      <c r="F181" s="1" t="s">
        <v>418</v>
      </c>
      <c r="H181" s="1" t="str">
        <f t="shared" si="2"/>
        <v>Case "这": pinyin = "Zhe,Zhei,"</v>
      </c>
    </row>
    <row r="182" spans="1:8" ht="13.5" x14ac:dyDescent="0.15">
      <c r="A182" t="s">
        <v>534</v>
      </c>
      <c r="B182" s="1" t="s">
        <v>535</v>
      </c>
      <c r="D182" s="1" t="s">
        <v>416</v>
      </c>
      <c r="E182" s="1" t="s">
        <v>417</v>
      </c>
      <c r="F182" s="1" t="s">
        <v>418</v>
      </c>
      <c r="H182" s="1" t="str">
        <f t="shared" si="2"/>
        <v>Case "著": pinyin = "Zhu,Zhuo,"</v>
      </c>
    </row>
    <row r="183" spans="1:8" ht="13.5" x14ac:dyDescent="0.15">
      <c r="A183" t="s">
        <v>536</v>
      </c>
      <c r="B183" s="1" t="s">
        <v>537</v>
      </c>
      <c r="D183" s="1" t="s">
        <v>416</v>
      </c>
      <c r="E183" s="1" t="s">
        <v>417</v>
      </c>
      <c r="F183" s="1" t="s">
        <v>418</v>
      </c>
      <c r="H183" s="1" t="str">
        <f t="shared" si="2"/>
        <v>Case "赚": pinyin = "Zhuan,Zuan,"</v>
      </c>
    </row>
    <row r="184" spans="1:8" ht="13.5" x14ac:dyDescent="0.15">
      <c r="A184" t="s">
        <v>414</v>
      </c>
      <c r="B184" s="1" t="s">
        <v>415</v>
      </c>
      <c r="D184" s="1" t="s">
        <v>416</v>
      </c>
      <c r="E184" s="1" t="s">
        <v>417</v>
      </c>
      <c r="F184" s="1" t="s">
        <v>418</v>
      </c>
      <c r="H184" s="1" t="str">
        <f t="shared" si="2"/>
        <v>Case "琢": pinyin = "Zhuo,Zuo,"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4"/>
  <sheetViews>
    <sheetView tabSelected="1" workbookViewId="0">
      <selection activeCell="K22" sqref="K22"/>
    </sheetView>
  </sheetViews>
  <sheetFormatPr defaultRowHeight="12" x14ac:dyDescent="0.15"/>
  <cols>
    <col min="1" max="1" width="7.5" style="1" customWidth="1"/>
    <col min="2" max="2" width="21.625" style="1" bestFit="1" customWidth="1"/>
    <col min="3" max="3" width="9" style="1"/>
    <col min="4" max="4" width="7.5" style="1" bestFit="1" customWidth="1"/>
    <col min="5" max="5" width="15" style="1" bestFit="1" customWidth="1"/>
    <col min="6" max="6" width="2.5" style="1" bestFit="1" customWidth="1"/>
    <col min="7" max="7" width="9" style="1"/>
    <col min="8" max="8" width="45.875" style="1" bestFit="1" customWidth="1"/>
    <col min="9" max="16384" width="9" style="1"/>
  </cols>
  <sheetData>
    <row r="1" spans="1:8" ht="13.5" x14ac:dyDescent="0.15">
      <c r="A1" t="s">
        <v>137</v>
      </c>
      <c r="B1" s="1" t="s">
        <v>138</v>
      </c>
      <c r="D1" s="1" t="s">
        <v>416</v>
      </c>
      <c r="E1" s="1" t="s">
        <v>417</v>
      </c>
      <c r="F1" s="1" t="s">
        <v>418</v>
      </c>
      <c r="H1" s="1" t="str">
        <f>D1&amp;A1&amp;E1&amp;B1&amp;F1</f>
        <v>Case "阿": pinyin = "A,E,"</v>
      </c>
    </row>
    <row r="2" spans="1:8" ht="13.5" x14ac:dyDescent="0.15">
      <c r="A2" t="s">
        <v>139</v>
      </c>
      <c r="B2" s="1" t="s">
        <v>140</v>
      </c>
      <c r="D2" s="1" t="s">
        <v>416</v>
      </c>
      <c r="E2" s="1" t="s">
        <v>417</v>
      </c>
      <c r="F2" s="1" t="s">
        <v>418</v>
      </c>
      <c r="H2" s="1" t="str">
        <f t="shared" ref="H2:H65" si="0">D2&amp;A2&amp;E2&amp;B2&amp;F2</f>
        <v>Case "拗": pinyin = "Ao,Niu,"</v>
      </c>
    </row>
    <row r="3" spans="1:8" ht="13.5" x14ac:dyDescent="0.15">
      <c r="A3" t="s">
        <v>141</v>
      </c>
      <c r="B3" s="1" t="s">
        <v>142</v>
      </c>
      <c r="D3" s="1" t="s">
        <v>416</v>
      </c>
      <c r="E3" s="1" t="s">
        <v>417</v>
      </c>
      <c r="F3" s="1" t="s">
        <v>418</v>
      </c>
      <c r="H3" s="1" t="str">
        <f t="shared" si="0"/>
        <v>Case "扒": pinyin = "Ba,Pa,"</v>
      </c>
    </row>
    <row r="4" spans="1:8" ht="13.5" x14ac:dyDescent="0.15">
      <c r="A4" t="s">
        <v>144</v>
      </c>
      <c r="B4" s="1" t="s">
        <v>143</v>
      </c>
      <c r="D4" s="1" t="s">
        <v>416</v>
      </c>
      <c r="E4" s="1" t="s">
        <v>417</v>
      </c>
      <c r="F4" s="1" t="s">
        <v>418</v>
      </c>
      <c r="H4" s="1" t="str">
        <f t="shared" si="0"/>
        <v>Case "伯": pinyin = "Bai,Bo,"</v>
      </c>
    </row>
    <row r="5" spans="1:8" ht="13.5" x14ac:dyDescent="0.15">
      <c r="A5" t="s">
        <v>147</v>
      </c>
      <c r="B5" s="1" t="s">
        <v>146</v>
      </c>
      <c r="D5" s="1" t="s">
        <v>416</v>
      </c>
      <c r="E5" s="1" t="s">
        <v>417</v>
      </c>
      <c r="F5" s="1" t="s">
        <v>418</v>
      </c>
      <c r="H5" s="1" t="str">
        <f t="shared" si="0"/>
        <v>Case "膀": pinyin = "Bang,Pang,"</v>
      </c>
    </row>
    <row r="6" spans="1:8" ht="13.5" x14ac:dyDescent="0.15">
      <c r="A6" t="s">
        <v>145</v>
      </c>
      <c r="B6" s="1" t="s">
        <v>146</v>
      </c>
      <c r="D6" s="1" t="s">
        <v>416</v>
      </c>
      <c r="E6" s="1" t="s">
        <v>417</v>
      </c>
      <c r="F6" s="1" t="s">
        <v>418</v>
      </c>
      <c r="H6" s="1" t="str">
        <f t="shared" si="0"/>
        <v>Case "磅": pinyin = "Bang,Pang,"</v>
      </c>
    </row>
    <row r="7" spans="1:8" ht="13.5" x14ac:dyDescent="0.15">
      <c r="A7" t="s">
        <v>151</v>
      </c>
      <c r="B7" s="1" t="s">
        <v>150</v>
      </c>
      <c r="D7" s="1" t="s">
        <v>416</v>
      </c>
      <c r="E7" s="1" t="s">
        <v>417</v>
      </c>
      <c r="F7" s="1" t="s">
        <v>418</v>
      </c>
      <c r="H7" s="1" t="str">
        <f t="shared" si="0"/>
        <v>Case "剥": pinyin = "Bao,Bo,"</v>
      </c>
    </row>
    <row r="8" spans="1:8" ht="13.5" x14ac:dyDescent="0.15">
      <c r="A8" t="s">
        <v>149</v>
      </c>
      <c r="B8" s="1" t="s">
        <v>150</v>
      </c>
      <c r="D8" s="1" t="s">
        <v>416</v>
      </c>
      <c r="E8" s="1" t="s">
        <v>417</v>
      </c>
      <c r="F8" s="1" t="s">
        <v>418</v>
      </c>
      <c r="H8" s="1" t="str">
        <f t="shared" si="0"/>
        <v>Case "薄": pinyin = "Bao,Bo,"</v>
      </c>
    </row>
    <row r="9" spans="1:8" ht="13.5" x14ac:dyDescent="0.15">
      <c r="A9" t="s">
        <v>152</v>
      </c>
      <c r="B9" s="1" t="s">
        <v>153</v>
      </c>
      <c r="D9" s="1" t="s">
        <v>416</v>
      </c>
      <c r="E9" s="1" t="s">
        <v>417</v>
      </c>
      <c r="F9" s="1" t="s">
        <v>418</v>
      </c>
      <c r="H9" s="1" t="str">
        <f t="shared" si="0"/>
        <v>Case "堡": pinyin = "Bao,Bu,Pu,"</v>
      </c>
    </row>
    <row r="10" spans="1:8" ht="13.5" x14ac:dyDescent="0.15">
      <c r="A10" t="s">
        <v>466</v>
      </c>
      <c r="B10" s="1" t="s">
        <v>148</v>
      </c>
      <c r="D10" s="1" t="s">
        <v>416</v>
      </c>
      <c r="E10" s="1" t="s">
        <v>417</v>
      </c>
      <c r="F10" s="1" t="s">
        <v>418</v>
      </c>
      <c r="H10" s="1" t="str">
        <f t="shared" si="0"/>
        <v>Case "瀑": pinyin = "Bao,Pu,"</v>
      </c>
    </row>
    <row r="11" spans="1:8" ht="13.5" x14ac:dyDescent="0.15">
      <c r="A11" t="s">
        <v>467</v>
      </c>
      <c r="B11" s="1" t="s">
        <v>148</v>
      </c>
      <c r="D11" s="1" t="s">
        <v>416</v>
      </c>
      <c r="E11" s="1" t="s">
        <v>417</v>
      </c>
      <c r="F11" s="1" t="s">
        <v>418</v>
      </c>
      <c r="H11" s="1" t="str">
        <f t="shared" si="0"/>
        <v>Case "曝": pinyin = "Bao,Pu,"</v>
      </c>
    </row>
    <row r="12" spans="1:8" ht="13.5" x14ac:dyDescent="0.15">
      <c r="A12" t="s">
        <v>155</v>
      </c>
      <c r="B12" s="1" t="s">
        <v>156</v>
      </c>
      <c r="D12" s="1" t="s">
        <v>416</v>
      </c>
      <c r="E12" s="1" t="s">
        <v>417</v>
      </c>
      <c r="F12" s="1" t="s">
        <v>418</v>
      </c>
      <c r="H12" s="1" t="str">
        <f t="shared" si="0"/>
        <v>Case "辟": pinyin = "Bi,Pi,"</v>
      </c>
    </row>
    <row r="13" spans="1:8" ht="13.5" x14ac:dyDescent="0.15">
      <c r="A13" t="s">
        <v>159</v>
      </c>
      <c r="B13" s="1" t="s">
        <v>158</v>
      </c>
      <c r="D13" s="1" t="s">
        <v>416</v>
      </c>
      <c r="E13" s="1" t="s">
        <v>417</v>
      </c>
      <c r="F13" s="1" t="s">
        <v>418</v>
      </c>
      <c r="H13" s="1" t="str">
        <f t="shared" si="0"/>
        <v>Case "扁": pinyin = "Bian,Pian,"</v>
      </c>
    </row>
    <row r="14" spans="1:8" ht="13.5" x14ac:dyDescent="0.15">
      <c r="A14" t="s">
        <v>157</v>
      </c>
      <c r="B14" s="1" t="s">
        <v>158</v>
      </c>
      <c r="D14" s="1" t="s">
        <v>416</v>
      </c>
      <c r="E14" s="1" t="s">
        <v>417</v>
      </c>
      <c r="F14" s="1" t="s">
        <v>418</v>
      </c>
      <c r="H14" s="1" t="str">
        <f t="shared" si="0"/>
        <v>Case "便": pinyin = "Bian,Pian,"</v>
      </c>
    </row>
    <row r="15" spans="1:8" ht="13.5" x14ac:dyDescent="0.15">
      <c r="A15" t="s">
        <v>160</v>
      </c>
      <c r="B15" s="1" t="s">
        <v>161</v>
      </c>
      <c r="D15" s="1" t="s">
        <v>416</v>
      </c>
      <c r="E15" s="1" t="s">
        <v>417</v>
      </c>
      <c r="F15" s="1" t="s">
        <v>418</v>
      </c>
      <c r="H15" s="1" t="str">
        <f t="shared" si="0"/>
        <v>Case "屏": pinyin = "Bing,Ping,"</v>
      </c>
    </row>
    <row r="16" spans="1:8" ht="13.5" x14ac:dyDescent="0.15">
      <c r="A16" t="s">
        <v>162</v>
      </c>
      <c r="B16" s="1" t="s">
        <v>163</v>
      </c>
      <c r="D16" s="1" t="s">
        <v>416</v>
      </c>
      <c r="E16" s="1" t="s">
        <v>417</v>
      </c>
      <c r="F16" s="1" t="s">
        <v>418</v>
      </c>
      <c r="H16" s="1" t="str">
        <f t="shared" si="0"/>
        <v>Case "泊": pinyin = "Bo,Po,"</v>
      </c>
    </row>
    <row r="17" spans="1:8" ht="13.5" x14ac:dyDescent="0.15">
      <c r="A17" t="s">
        <v>468</v>
      </c>
      <c r="B17" s="1" t="s">
        <v>469</v>
      </c>
      <c r="D17" s="1" t="s">
        <v>416</v>
      </c>
      <c r="E17" s="1" t="s">
        <v>417</v>
      </c>
      <c r="F17" s="1" t="s">
        <v>418</v>
      </c>
      <c r="H17" s="1" t="str">
        <f t="shared" si="0"/>
        <v>Case "魄": pinyin = "Bo,Po,Tuo,"</v>
      </c>
    </row>
    <row r="18" spans="1:8" ht="13.5" x14ac:dyDescent="0.15">
      <c r="A18" t="s">
        <v>470</v>
      </c>
      <c r="B18" s="1" t="s">
        <v>471</v>
      </c>
      <c r="D18" s="1" t="s">
        <v>416</v>
      </c>
      <c r="E18" s="1" t="s">
        <v>417</v>
      </c>
      <c r="F18" s="1" t="s">
        <v>418</v>
      </c>
      <c r="H18" s="1" t="str">
        <f t="shared" si="0"/>
        <v>Case "拆": pinyin = "Ca,Chai,"</v>
      </c>
    </row>
    <row r="19" spans="1:8" ht="13.5" x14ac:dyDescent="0.15">
      <c r="A19" t="s">
        <v>164</v>
      </c>
      <c r="B19" s="1" t="s">
        <v>165</v>
      </c>
      <c r="D19" s="1" t="s">
        <v>416</v>
      </c>
      <c r="E19" s="1" t="s">
        <v>417</v>
      </c>
      <c r="F19" s="1" t="s">
        <v>418</v>
      </c>
      <c r="H19" s="1" t="str">
        <f t="shared" si="0"/>
        <v>Case "参": pinyin = "Can,Cen,Shen,"</v>
      </c>
    </row>
    <row r="20" spans="1:8" ht="13.5" x14ac:dyDescent="0.15">
      <c r="A20" t="s">
        <v>166</v>
      </c>
      <c r="B20" s="1" t="s">
        <v>167</v>
      </c>
      <c r="D20" s="1" t="s">
        <v>416</v>
      </c>
      <c r="E20" s="1" t="s">
        <v>417</v>
      </c>
      <c r="F20" s="1" t="s">
        <v>418</v>
      </c>
      <c r="H20" s="1" t="str">
        <f t="shared" si="0"/>
        <v>Case "藏": pinyin = "Cang,Zang,"</v>
      </c>
    </row>
    <row r="21" spans="1:8" ht="13.5" x14ac:dyDescent="0.15">
      <c r="A21" t="s">
        <v>552</v>
      </c>
      <c r="B21" s="4" t="s">
        <v>553</v>
      </c>
      <c r="D21" s="1" t="s">
        <v>416</v>
      </c>
      <c r="E21" s="1" t="s">
        <v>417</v>
      </c>
      <c r="F21" s="1" t="s">
        <v>418</v>
      </c>
      <c r="H21" s="1" t="str">
        <f t="shared" si="0"/>
        <v>Case "侧": pinyin = "Ce,"</v>
      </c>
    </row>
    <row r="22" spans="1:8" ht="13.5" x14ac:dyDescent="0.15">
      <c r="A22" t="s">
        <v>168</v>
      </c>
      <c r="B22" s="1" t="s">
        <v>169</v>
      </c>
      <c r="D22" s="1" t="s">
        <v>416</v>
      </c>
      <c r="E22" s="1" t="s">
        <v>417</v>
      </c>
      <c r="F22" s="1" t="s">
        <v>418</v>
      </c>
      <c r="H22" s="1" t="str">
        <f t="shared" si="0"/>
        <v>Case "曾": pinyin = "Ceng,Zeng,"</v>
      </c>
    </row>
    <row r="23" spans="1:8" ht="13.5" x14ac:dyDescent="0.15">
      <c r="A23" t="s">
        <v>172</v>
      </c>
      <c r="B23" s="1" t="s">
        <v>474</v>
      </c>
      <c r="D23" s="1" t="s">
        <v>416</v>
      </c>
      <c r="E23" s="1" t="s">
        <v>417</v>
      </c>
      <c r="F23" s="1" t="s">
        <v>418</v>
      </c>
      <c r="H23" s="1" t="str">
        <f t="shared" si="0"/>
        <v>Case "差": pinyin = "Cha,Chai,"</v>
      </c>
    </row>
    <row r="24" spans="1:8" ht="13.5" x14ac:dyDescent="0.15">
      <c r="A24" t="s">
        <v>475</v>
      </c>
      <c r="B24" s="1" t="s">
        <v>171</v>
      </c>
      <c r="D24" s="1" t="s">
        <v>416</v>
      </c>
      <c r="E24" s="1" t="s">
        <v>417</v>
      </c>
      <c r="F24" s="1" t="s">
        <v>418</v>
      </c>
      <c r="H24" s="1" t="str">
        <f t="shared" si="0"/>
        <v>Case "喳": pinyin = "Cha,Zha,"</v>
      </c>
    </row>
    <row r="25" spans="1:8" ht="13.5" x14ac:dyDescent="0.15">
      <c r="A25" t="s">
        <v>170</v>
      </c>
      <c r="B25" s="1" t="s">
        <v>171</v>
      </c>
      <c r="D25" s="1" t="s">
        <v>416</v>
      </c>
      <c r="E25" s="1" t="s">
        <v>417</v>
      </c>
      <c r="F25" s="1" t="s">
        <v>418</v>
      </c>
      <c r="H25" s="1" t="str">
        <f t="shared" si="0"/>
        <v>Case "查": pinyin = "Cha,Zha,"</v>
      </c>
    </row>
    <row r="26" spans="1:8" ht="13.5" x14ac:dyDescent="0.15">
      <c r="A26" t="s">
        <v>173</v>
      </c>
      <c r="B26" s="1" t="s">
        <v>174</v>
      </c>
      <c r="D26" s="1" t="s">
        <v>416</v>
      </c>
      <c r="E26" s="1" t="s">
        <v>417</v>
      </c>
      <c r="F26" s="1" t="s">
        <v>418</v>
      </c>
      <c r="H26" s="1" t="str">
        <f t="shared" si="0"/>
        <v>Case "颤": pinyin = "Chan,Zhan,"</v>
      </c>
    </row>
    <row r="27" spans="1:8" ht="13.5" x14ac:dyDescent="0.15">
      <c r="A27" t="s">
        <v>176</v>
      </c>
      <c r="B27" s="1" t="s">
        <v>177</v>
      </c>
      <c r="D27" s="1" t="s">
        <v>416</v>
      </c>
      <c r="E27" s="1" t="s">
        <v>417</v>
      </c>
      <c r="F27" s="1" t="s">
        <v>418</v>
      </c>
      <c r="H27" s="1" t="str">
        <f t="shared" si="0"/>
        <v>Case "长": pinyin = "Chang,Zhang,"</v>
      </c>
    </row>
    <row r="28" spans="1:8" ht="13.5" x14ac:dyDescent="0.15">
      <c r="A28" t="s">
        <v>178</v>
      </c>
      <c r="B28" s="1" t="s">
        <v>179</v>
      </c>
      <c r="D28" s="1" t="s">
        <v>416</v>
      </c>
      <c r="E28" s="1" t="s">
        <v>417</v>
      </c>
      <c r="F28" s="1" t="s">
        <v>418</v>
      </c>
      <c r="H28" s="1" t="str">
        <f t="shared" si="0"/>
        <v>Case "朝": pinyin = "Chao,Zhao,"</v>
      </c>
    </row>
    <row r="29" spans="1:8" ht="13.5" x14ac:dyDescent="0.15">
      <c r="A29" t="s">
        <v>180</v>
      </c>
      <c r="B29" s="1" t="s">
        <v>181</v>
      </c>
      <c r="D29" s="1" t="s">
        <v>416</v>
      </c>
      <c r="E29" s="1" t="s">
        <v>417</v>
      </c>
      <c r="F29" s="1" t="s">
        <v>418</v>
      </c>
      <c r="H29" s="1" t="str">
        <f t="shared" si="0"/>
        <v>Case "车": pinyin = "Che,Ju,"</v>
      </c>
    </row>
    <row r="30" spans="1:8" s="3" customFormat="1" ht="13.5" x14ac:dyDescent="0.15">
      <c r="A30" s="2" t="s">
        <v>476</v>
      </c>
      <c r="B30" s="4" t="s">
        <v>539</v>
      </c>
      <c r="D30" s="3" t="s">
        <v>416</v>
      </c>
      <c r="E30" s="3" t="s">
        <v>417</v>
      </c>
      <c r="F30" s="3" t="s">
        <v>418</v>
      </c>
      <c r="H30" s="3" t="str">
        <f t="shared" si="0"/>
        <v>Case "尺": pinyin = "Chi,"</v>
      </c>
    </row>
    <row r="31" spans="1:8" ht="13.5" x14ac:dyDescent="0.15">
      <c r="A31" t="s">
        <v>182</v>
      </c>
      <c r="B31" s="1" t="s">
        <v>183</v>
      </c>
      <c r="D31" s="1" t="s">
        <v>416</v>
      </c>
      <c r="E31" s="1" t="s">
        <v>417</v>
      </c>
      <c r="F31" s="1" t="s">
        <v>418</v>
      </c>
      <c r="H31" s="1" t="str">
        <f t="shared" si="0"/>
        <v>Case "称": pinyin = "Chen,Cheng,"</v>
      </c>
    </row>
    <row r="32" spans="1:8" ht="13.5" x14ac:dyDescent="0.15">
      <c r="A32" t="s">
        <v>184</v>
      </c>
      <c r="B32" s="1" t="s">
        <v>185</v>
      </c>
      <c r="D32" s="1" t="s">
        <v>416</v>
      </c>
      <c r="E32" s="1" t="s">
        <v>417</v>
      </c>
      <c r="F32" s="1" t="s">
        <v>418</v>
      </c>
      <c r="H32" s="1" t="str">
        <f t="shared" si="0"/>
        <v>Case "澄": pinyin = "Cheng,Deng,"</v>
      </c>
    </row>
    <row r="33" spans="1:8" ht="13.5" x14ac:dyDescent="0.15">
      <c r="A33" t="s">
        <v>186</v>
      </c>
      <c r="B33" s="1" t="s">
        <v>187</v>
      </c>
      <c r="D33" s="1" t="s">
        <v>416</v>
      </c>
      <c r="E33" s="1" t="s">
        <v>417</v>
      </c>
      <c r="F33" s="1" t="s">
        <v>418</v>
      </c>
      <c r="H33" s="1" t="str">
        <f t="shared" si="0"/>
        <v>Case "匙": pinyin = "Chi,Shi,"</v>
      </c>
    </row>
    <row r="34" spans="1:8" ht="13.5" x14ac:dyDescent="0.15">
      <c r="A34" t="s">
        <v>188</v>
      </c>
      <c r="B34" s="1" t="s">
        <v>189</v>
      </c>
      <c r="D34" s="1" t="s">
        <v>416</v>
      </c>
      <c r="E34" s="1" t="s">
        <v>417</v>
      </c>
      <c r="F34" s="1" t="s">
        <v>418</v>
      </c>
      <c r="H34" s="1" t="str">
        <f t="shared" si="0"/>
        <v>Case "重": pinyin = "Chong,Zhong,"</v>
      </c>
    </row>
    <row r="35" spans="1:8" ht="13.5" x14ac:dyDescent="0.15">
      <c r="A35" t="s">
        <v>478</v>
      </c>
      <c r="B35" s="4" t="s">
        <v>568</v>
      </c>
      <c r="D35" s="1" t="s">
        <v>416</v>
      </c>
      <c r="E35" s="1" t="s">
        <v>417</v>
      </c>
      <c r="F35" s="1" t="s">
        <v>418</v>
      </c>
      <c r="H35" s="1" t="str">
        <f t="shared" si="0"/>
        <v>Case "崇": pinyin = "Chong,"</v>
      </c>
    </row>
    <row r="36" spans="1:8" ht="13.5" x14ac:dyDescent="0.15">
      <c r="A36" t="s">
        <v>190</v>
      </c>
      <c r="B36" s="1" t="s">
        <v>191</v>
      </c>
      <c r="D36" s="1" t="s">
        <v>416</v>
      </c>
      <c r="E36" s="1" t="s">
        <v>417</v>
      </c>
      <c r="F36" s="1" t="s">
        <v>418</v>
      </c>
      <c r="H36" s="1" t="str">
        <f t="shared" si="0"/>
        <v>Case "畜": pinyin = "Chu,Xu,"</v>
      </c>
    </row>
    <row r="37" spans="1:8" ht="13.5" x14ac:dyDescent="0.15">
      <c r="A37" t="s">
        <v>538</v>
      </c>
      <c r="B37" s="1" t="s">
        <v>193</v>
      </c>
      <c r="D37" s="1" t="s">
        <v>416</v>
      </c>
      <c r="E37" s="1" t="s">
        <v>417</v>
      </c>
      <c r="F37" s="1" t="s">
        <v>418</v>
      </c>
      <c r="H37" s="1" t="str">
        <f t="shared" si="0"/>
        <v>Case "嘬": pinyin = "Chuai,Zuo,"</v>
      </c>
    </row>
    <row r="38" spans="1:8" ht="13.5" x14ac:dyDescent="0.15">
      <c r="A38" t="s">
        <v>194</v>
      </c>
      <c r="B38" s="1" t="s">
        <v>195</v>
      </c>
      <c r="D38" s="1" t="s">
        <v>416</v>
      </c>
      <c r="E38" s="1" t="s">
        <v>417</v>
      </c>
      <c r="F38" s="1" t="s">
        <v>418</v>
      </c>
      <c r="H38" s="1" t="str">
        <f t="shared" si="0"/>
        <v>Case "传": pinyin = "Chuan,Zhuan,"</v>
      </c>
    </row>
    <row r="39" spans="1:8" ht="13.5" x14ac:dyDescent="0.15">
      <c r="A39" t="s">
        <v>198</v>
      </c>
      <c r="B39" s="1" t="s">
        <v>199</v>
      </c>
      <c r="D39" s="1" t="s">
        <v>416</v>
      </c>
      <c r="E39" s="1" t="s">
        <v>417</v>
      </c>
      <c r="F39" s="1" t="s">
        <v>418</v>
      </c>
      <c r="H39" s="1" t="str">
        <f t="shared" si="0"/>
        <v>Case "兹": pinyin = "Ci,Zi,"</v>
      </c>
    </row>
    <row r="40" spans="1:8" ht="13.5" x14ac:dyDescent="0.15">
      <c r="A40" t="s">
        <v>196</v>
      </c>
      <c r="B40" s="1" t="s">
        <v>197</v>
      </c>
      <c r="D40" s="1" t="s">
        <v>416</v>
      </c>
      <c r="E40" s="1" t="s">
        <v>417</v>
      </c>
      <c r="F40" s="1" t="s">
        <v>418</v>
      </c>
      <c r="H40" s="1" t="str">
        <f t="shared" si="0"/>
        <v>Case "伺": pinyin = "Ci,Si,"</v>
      </c>
    </row>
    <row r="41" spans="1:8" ht="13.5" x14ac:dyDescent="0.15">
      <c r="A41" t="s">
        <v>480</v>
      </c>
      <c r="B41" s="1" t="s">
        <v>481</v>
      </c>
      <c r="D41" s="1" t="s">
        <v>416</v>
      </c>
      <c r="E41" s="1" t="s">
        <v>417</v>
      </c>
      <c r="F41" s="1" t="s">
        <v>418</v>
      </c>
      <c r="H41" s="1" t="str">
        <f t="shared" si="0"/>
        <v>Case "氽": pinyin = "Cuan,Tun,"</v>
      </c>
    </row>
    <row r="42" spans="1:8" ht="13.5" x14ac:dyDescent="0.15">
      <c r="A42" t="s">
        <v>200</v>
      </c>
      <c r="B42" s="1" t="s">
        <v>201</v>
      </c>
      <c r="D42" s="1" t="s">
        <v>416</v>
      </c>
      <c r="E42" s="1" t="s">
        <v>417</v>
      </c>
      <c r="F42" s="1" t="s">
        <v>418</v>
      </c>
      <c r="H42" s="1" t="str">
        <f t="shared" si="0"/>
        <v>Case "攒": pinyin = "Cuan,Zan,"</v>
      </c>
    </row>
    <row r="43" spans="1:8" ht="13.5" x14ac:dyDescent="0.15">
      <c r="A43" t="s">
        <v>202</v>
      </c>
      <c r="B43" s="1" t="s">
        <v>203</v>
      </c>
      <c r="D43" s="1" t="s">
        <v>416</v>
      </c>
      <c r="E43" s="1" t="s">
        <v>417</v>
      </c>
      <c r="F43" s="1" t="s">
        <v>418</v>
      </c>
      <c r="H43" s="1" t="str">
        <f t="shared" si="0"/>
        <v>Case "撮": pinyin = "Cuo,Zuo,"</v>
      </c>
    </row>
    <row r="44" spans="1:8" ht="13.5" x14ac:dyDescent="0.15">
      <c r="A44" t="s">
        <v>175</v>
      </c>
      <c r="B44" s="1" t="s">
        <v>206</v>
      </c>
      <c r="D44" s="1" t="s">
        <v>416</v>
      </c>
      <c r="E44" s="1" t="s">
        <v>417</v>
      </c>
      <c r="F44" s="1" t="s">
        <v>418</v>
      </c>
      <c r="H44" s="1" t="str">
        <f t="shared" si="0"/>
        <v>Case "单": pinyin = "Dan,Shan,"</v>
      </c>
    </row>
    <row r="45" spans="1:8" ht="13.5" x14ac:dyDescent="0.15">
      <c r="A45" t="s">
        <v>204</v>
      </c>
      <c r="B45" s="1" t="s">
        <v>205</v>
      </c>
      <c r="D45" s="1" t="s">
        <v>416</v>
      </c>
      <c r="E45" s="1" t="s">
        <v>417</v>
      </c>
      <c r="F45" s="1" t="s">
        <v>418</v>
      </c>
      <c r="H45" s="1" t="str">
        <f t="shared" si="0"/>
        <v>Case "弹": pinyin = "Dan,Tan,"</v>
      </c>
    </row>
    <row r="46" spans="1:8" ht="13.5" x14ac:dyDescent="0.15">
      <c r="A46" t="s">
        <v>208</v>
      </c>
      <c r="B46" s="1" t="s">
        <v>207</v>
      </c>
      <c r="D46" s="1" t="s">
        <v>416</v>
      </c>
      <c r="E46" s="1" t="s">
        <v>417</v>
      </c>
      <c r="F46" s="1" t="s">
        <v>418</v>
      </c>
      <c r="H46" s="1" t="str">
        <f t="shared" si="0"/>
        <v>Case "叨": pinyin = "Dao,Tao,"</v>
      </c>
    </row>
    <row r="47" spans="1:8" ht="13.5" x14ac:dyDescent="0.15">
      <c r="A47" t="s">
        <v>212</v>
      </c>
      <c r="B47" s="1" t="s">
        <v>213</v>
      </c>
      <c r="D47" s="1" t="s">
        <v>416</v>
      </c>
      <c r="E47" s="1" t="s">
        <v>417</v>
      </c>
      <c r="F47" s="1" t="s">
        <v>418</v>
      </c>
      <c r="H47" s="1" t="str">
        <f t="shared" si="0"/>
        <v>Case "得": pinyin = "De,Dei,"</v>
      </c>
    </row>
    <row r="48" spans="1:8" ht="13.5" x14ac:dyDescent="0.15">
      <c r="A48" t="s">
        <v>211</v>
      </c>
      <c r="B48" s="1" t="s">
        <v>210</v>
      </c>
      <c r="D48" s="1" t="s">
        <v>416</v>
      </c>
      <c r="E48" s="1" t="s">
        <v>417</v>
      </c>
      <c r="F48" s="1" t="s">
        <v>418</v>
      </c>
      <c r="H48" s="1" t="str">
        <f t="shared" si="0"/>
        <v>Case "地": pinyin = "De,Di,"</v>
      </c>
    </row>
    <row r="49" spans="1:8" ht="13.5" x14ac:dyDescent="0.15">
      <c r="A49" t="s">
        <v>209</v>
      </c>
      <c r="B49" s="1" t="s">
        <v>210</v>
      </c>
      <c r="D49" s="1" t="s">
        <v>416</v>
      </c>
      <c r="E49" s="1" t="s">
        <v>417</v>
      </c>
      <c r="F49" s="1" t="s">
        <v>418</v>
      </c>
      <c r="H49" s="1" t="str">
        <f t="shared" si="0"/>
        <v>Case "的": pinyin = "De,Di,"</v>
      </c>
    </row>
    <row r="50" spans="1:8" ht="13.5" x14ac:dyDescent="0.15">
      <c r="A50" t="s">
        <v>482</v>
      </c>
      <c r="B50" s="1" t="s">
        <v>214</v>
      </c>
      <c r="D50" s="1" t="s">
        <v>416</v>
      </c>
      <c r="E50" s="1" t="s">
        <v>417</v>
      </c>
      <c r="F50" s="1" t="s">
        <v>418</v>
      </c>
      <c r="H50" s="1" t="str">
        <f t="shared" si="0"/>
        <v>Case "佃": pinyin = "Dian,Tian,"</v>
      </c>
    </row>
    <row r="51" spans="1:8" ht="13.5" x14ac:dyDescent="0.15">
      <c r="A51" t="s">
        <v>215</v>
      </c>
      <c r="B51" s="1" t="s">
        <v>216</v>
      </c>
      <c r="D51" s="1" t="s">
        <v>416</v>
      </c>
      <c r="E51" s="1" t="s">
        <v>417</v>
      </c>
      <c r="F51" s="1" t="s">
        <v>418</v>
      </c>
      <c r="H51" s="1" t="str">
        <f t="shared" si="0"/>
        <v>Case "调": pinyin = "Diao,Tiao,"</v>
      </c>
    </row>
    <row r="52" spans="1:8" ht="13.5" x14ac:dyDescent="0.15">
      <c r="A52" t="s">
        <v>217</v>
      </c>
      <c r="B52" s="1" t="s">
        <v>218</v>
      </c>
      <c r="D52" s="1" t="s">
        <v>416</v>
      </c>
      <c r="E52" s="1" t="s">
        <v>417</v>
      </c>
      <c r="F52" s="1" t="s">
        <v>418</v>
      </c>
      <c r="H52" s="1" t="str">
        <f t="shared" si="0"/>
        <v>Case "喋": pinyin = "Die,Zha,"</v>
      </c>
    </row>
    <row r="53" spans="1:8" s="3" customFormat="1" ht="13.5" x14ac:dyDescent="0.15">
      <c r="A53" s="2" t="s">
        <v>483</v>
      </c>
      <c r="B53" s="4" t="s">
        <v>540</v>
      </c>
      <c r="D53" s="3" t="s">
        <v>416</v>
      </c>
      <c r="E53" s="3" t="s">
        <v>417</v>
      </c>
      <c r="F53" s="3" t="s">
        <v>418</v>
      </c>
      <c r="H53" s="3" t="str">
        <f t="shared" si="0"/>
        <v>Case "丁": pinyin = "Ding,"</v>
      </c>
    </row>
    <row r="54" spans="1:8" ht="13.5" x14ac:dyDescent="0.15">
      <c r="A54" t="s">
        <v>219</v>
      </c>
      <c r="B54" s="1" t="s">
        <v>220</v>
      </c>
      <c r="D54" s="1" t="s">
        <v>416</v>
      </c>
      <c r="E54" s="1" t="s">
        <v>417</v>
      </c>
      <c r="F54" s="1" t="s">
        <v>418</v>
      </c>
      <c r="H54" s="1" t="str">
        <f t="shared" si="0"/>
        <v>Case "都": pinyin = "Dou,Du,"</v>
      </c>
    </row>
    <row r="55" spans="1:8" ht="13.5" x14ac:dyDescent="0.15">
      <c r="A55" t="s">
        <v>221</v>
      </c>
      <c r="B55" s="1" t="s">
        <v>222</v>
      </c>
      <c r="D55" s="1" t="s">
        <v>416</v>
      </c>
      <c r="E55" s="1" t="s">
        <v>417</v>
      </c>
      <c r="F55" s="1" t="s">
        <v>418</v>
      </c>
      <c r="H55" s="1" t="str">
        <f t="shared" si="0"/>
        <v>Case "度": pinyin = "Du,Duo,"</v>
      </c>
    </row>
    <row r="56" spans="1:8" ht="13.5" x14ac:dyDescent="0.15">
      <c r="A56" t="s">
        <v>223</v>
      </c>
      <c r="B56" s="1" t="s">
        <v>224</v>
      </c>
      <c r="D56" s="1" t="s">
        <v>416</v>
      </c>
      <c r="E56" s="1" t="s">
        <v>417</v>
      </c>
      <c r="F56" s="1" t="s">
        <v>418</v>
      </c>
      <c r="H56" s="1" t="str">
        <f t="shared" si="0"/>
        <v>Case "囤": pinyin = "Dun,Tun,"</v>
      </c>
    </row>
    <row r="57" spans="1:8" ht="13.5" x14ac:dyDescent="0.15">
      <c r="A57" t="s">
        <v>225</v>
      </c>
      <c r="B57" s="1" t="s">
        <v>226</v>
      </c>
      <c r="D57" s="1" t="s">
        <v>416</v>
      </c>
      <c r="E57" s="1" t="s">
        <v>417</v>
      </c>
      <c r="F57" s="1" t="s">
        <v>418</v>
      </c>
      <c r="H57" s="1" t="str">
        <f t="shared" si="0"/>
        <v>Case "驮": pinyin = "Duo,Tuo,"</v>
      </c>
    </row>
    <row r="58" spans="1:8" ht="13.5" x14ac:dyDescent="0.15">
      <c r="A58" t="s">
        <v>227</v>
      </c>
      <c r="B58" s="1" t="s">
        <v>228</v>
      </c>
      <c r="D58" s="1" t="s">
        <v>416</v>
      </c>
      <c r="E58" s="1" t="s">
        <v>417</v>
      </c>
      <c r="F58" s="1" t="s">
        <v>418</v>
      </c>
      <c r="H58" s="1" t="str">
        <f t="shared" si="0"/>
        <v>Case "哦": pinyin = "E,O,"</v>
      </c>
    </row>
    <row r="59" spans="1:8" ht="13.5" x14ac:dyDescent="0.15">
      <c r="A59" t="s">
        <v>229</v>
      </c>
      <c r="B59" s="1" t="s">
        <v>230</v>
      </c>
      <c r="D59" s="1" t="s">
        <v>416</v>
      </c>
      <c r="E59" s="1" t="s">
        <v>417</v>
      </c>
      <c r="F59" s="1" t="s">
        <v>418</v>
      </c>
      <c r="H59" s="1" t="str">
        <f t="shared" si="0"/>
        <v>Case "恶": pinyin = "E,Wu,"</v>
      </c>
    </row>
    <row r="60" spans="1:8" ht="13.5" x14ac:dyDescent="0.15">
      <c r="A60" t="s">
        <v>231</v>
      </c>
      <c r="B60" s="1" t="s">
        <v>232</v>
      </c>
      <c r="D60" s="1" t="s">
        <v>416</v>
      </c>
      <c r="E60" s="1" t="s">
        <v>417</v>
      </c>
      <c r="F60" s="1" t="s">
        <v>418</v>
      </c>
      <c r="H60" s="1" t="str">
        <f t="shared" si="0"/>
        <v>Case "番": pinyin = "Fan,Pan,"</v>
      </c>
    </row>
    <row r="61" spans="1:8" ht="13.5" x14ac:dyDescent="0.15">
      <c r="A61" t="s">
        <v>233</v>
      </c>
      <c r="B61" s="1" t="s">
        <v>234</v>
      </c>
      <c r="D61" s="1" t="s">
        <v>416</v>
      </c>
      <c r="E61" s="1" t="s">
        <v>417</v>
      </c>
      <c r="F61" s="1" t="s">
        <v>418</v>
      </c>
      <c r="H61" s="1" t="str">
        <f t="shared" si="0"/>
        <v>Case "否": pinyin = "Fou,Pi,"</v>
      </c>
    </row>
    <row r="62" spans="1:8" ht="13.5" x14ac:dyDescent="0.15">
      <c r="A62" t="s">
        <v>235</v>
      </c>
      <c r="B62" s="1" t="s">
        <v>236</v>
      </c>
      <c r="D62" s="1" t="s">
        <v>416</v>
      </c>
      <c r="E62" s="1" t="s">
        <v>417</v>
      </c>
      <c r="F62" s="1" t="s">
        <v>418</v>
      </c>
      <c r="H62" s="1" t="str">
        <f t="shared" si="0"/>
        <v>Case "脯": pinyin = "Fu,Pu,"</v>
      </c>
    </row>
    <row r="63" spans="1:8" ht="13.5" x14ac:dyDescent="0.15">
      <c r="A63" t="s">
        <v>237</v>
      </c>
      <c r="B63" s="1" t="s">
        <v>485</v>
      </c>
      <c r="D63" s="1" t="s">
        <v>416</v>
      </c>
      <c r="E63" s="1" t="s">
        <v>417</v>
      </c>
      <c r="F63" s="1" t="s">
        <v>418</v>
      </c>
      <c r="H63" s="1" t="str">
        <f t="shared" si="0"/>
        <v>Case "咯": pinyin = "Ge,Ka,"</v>
      </c>
    </row>
    <row r="64" spans="1:8" ht="13.5" x14ac:dyDescent="0.15">
      <c r="A64" t="s">
        <v>238</v>
      </c>
      <c r="B64" s="1" t="s">
        <v>239</v>
      </c>
      <c r="D64" s="1" t="s">
        <v>416</v>
      </c>
      <c r="E64" s="1" t="s">
        <v>417</v>
      </c>
      <c r="F64" s="1" t="s">
        <v>418</v>
      </c>
      <c r="H64" s="1" t="str">
        <f t="shared" si="0"/>
        <v>Case "蛤": pinyin = "Ge,Ha,"</v>
      </c>
    </row>
    <row r="65" spans="1:8" ht="13.5" x14ac:dyDescent="0.15">
      <c r="A65" t="s">
        <v>240</v>
      </c>
      <c r="B65" s="1" t="s">
        <v>241</v>
      </c>
      <c r="D65" s="1" t="s">
        <v>416</v>
      </c>
      <c r="E65" s="1" t="s">
        <v>417</v>
      </c>
      <c r="F65" s="1" t="s">
        <v>418</v>
      </c>
      <c r="H65" s="1" t="str">
        <f t="shared" si="0"/>
        <v>Case "给": pinyin = "Gei,Ji,"</v>
      </c>
    </row>
    <row r="66" spans="1:8" ht="13.5" x14ac:dyDescent="0.15">
      <c r="A66" t="s">
        <v>242</v>
      </c>
      <c r="B66" s="1" t="s">
        <v>243</v>
      </c>
      <c r="D66" s="1" t="s">
        <v>416</v>
      </c>
      <c r="E66" s="1" t="s">
        <v>417</v>
      </c>
      <c r="F66" s="1" t="s">
        <v>418</v>
      </c>
      <c r="H66" s="1" t="str">
        <f t="shared" ref="H66:H129" si="1">D66&amp;A66&amp;E66&amp;B66&amp;F66</f>
        <v>Case "莞": pinyin = "Guan,Wan,"</v>
      </c>
    </row>
    <row r="67" spans="1:8" ht="13.5" x14ac:dyDescent="0.15">
      <c r="A67" t="s">
        <v>246</v>
      </c>
      <c r="B67" s="1" t="s">
        <v>247</v>
      </c>
      <c r="D67" s="1" t="s">
        <v>416</v>
      </c>
      <c r="E67" s="1" t="s">
        <v>417</v>
      </c>
      <c r="F67" s="1" t="s">
        <v>418</v>
      </c>
      <c r="H67" s="1" t="str">
        <f t="shared" si="1"/>
        <v>Case "咳": pinyin = "Hai,Ke,"</v>
      </c>
    </row>
    <row r="68" spans="1:8" ht="13.5" x14ac:dyDescent="0.15">
      <c r="A68" t="s">
        <v>244</v>
      </c>
      <c r="B68" s="1" t="s">
        <v>245</v>
      </c>
      <c r="D68" s="1" t="s">
        <v>416</v>
      </c>
      <c r="E68" s="1" t="s">
        <v>417</v>
      </c>
      <c r="F68" s="1" t="s">
        <v>418</v>
      </c>
      <c r="H68" s="1" t="str">
        <f t="shared" si="1"/>
        <v>Case "还": pinyin = "Hai,Huan,"</v>
      </c>
    </row>
    <row r="69" spans="1:8" ht="13.5" x14ac:dyDescent="0.15">
      <c r="A69" t="s">
        <v>248</v>
      </c>
      <c r="B69" s="1" t="s">
        <v>249</v>
      </c>
      <c r="D69" s="1" t="s">
        <v>416</v>
      </c>
      <c r="E69" s="1" t="s">
        <v>417</v>
      </c>
      <c r="F69" s="1" t="s">
        <v>418</v>
      </c>
      <c r="H69" s="1" t="str">
        <f t="shared" si="1"/>
        <v>Case "行": pinyin = "Hang,Xing,"</v>
      </c>
    </row>
    <row r="70" spans="1:8" ht="13.5" x14ac:dyDescent="0.15">
      <c r="A70" t="s">
        <v>252</v>
      </c>
      <c r="B70" s="1" t="s">
        <v>253</v>
      </c>
      <c r="D70" s="1" t="s">
        <v>416</v>
      </c>
      <c r="E70" s="1" t="s">
        <v>417</v>
      </c>
      <c r="F70" s="1" t="s">
        <v>418</v>
      </c>
      <c r="H70" s="1" t="str">
        <f t="shared" si="1"/>
        <v>Case "吭": pinyin = "Hang,Keng,"</v>
      </c>
    </row>
    <row r="71" spans="1:8" ht="13.5" x14ac:dyDescent="0.15">
      <c r="A71" t="s">
        <v>250</v>
      </c>
      <c r="B71" s="1" t="s">
        <v>251</v>
      </c>
      <c r="D71" s="1" t="s">
        <v>416</v>
      </c>
      <c r="E71" s="1" t="s">
        <v>417</v>
      </c>
      <c r="F71" s="1" t="s">
        <v>418</v>
      </c>
      <c r="H71" s="1" t="str">
        <f t="shared" si="1"/>
        <v>Case "巷": pinyin = "Hang,Xiang,"</v>
      </c>
    </row>
    <row r="72" spans="1:8" ht="13.5" x14ac:dyDescent="0.15">
      <c r="A72" t="s">
        <v>254</v>
      </c>
      <c r="B72" s="4" t="s">
        <v>567</v>
      </c>
      <c r="D72" s="1" t="s">
        <v>416</v>
      </c>
      <c r="E72" s="1" t="s">
        <v>417</v>
      </c>
      <c r="F72" s="1" t="s">
        <v>418</v>
      </c>
      <c r="H72" s="1" t="str">
        <f t="shared" si="1"/>
        <v>Case "和": pinyin = "He,"</v>
      </c>
    </row>
    <row r="73" spans="1:8" ht="13.5" x14ac:dyDescent="0.15">
      <c r="A73" t="s">
        <v>256</v>
      </c>
      <c r="B73" s="1" t="s">
        <v>257</v>
      </c>
      <c r="D73" s="1" t="s">
        <v>416</v>
      </c>
      <c r="E73" s="1" t="s">
        <v>417</v>
      </c>
      <c r="F73" s="1" t="s">
        <v>418</v>
      </c>
      <c r="H73" s="1" t="str">
        <f t="shared" si="1"/>
        <v>Case "吓": pinyin = "He,Xia,"</v>
      </c>
    </row>
    <row r="74" spans="1:8" ht="13.5" x14ac:dyDescent="0.15">
      <c r="A74" t="s">
        <v>486</v>
      </c>
      <c r="B74" s="1" t="s">
        <v>487</v>
      </c>
      <c r="D74" s="1" t="s">
        <v>416</v>
      </c>
      <c r="E74" s="1" t="s">
        <v>417</v>
      </c>
      <c r="F74" s="1" t="s">
        <v>418</v>
      </c>
      <c r="H74" s="1" t="str">
        <f t="shared" si="1"/>
        <v>Case "唬": pinyin = "Hu,Xia,"</v>
      </c>
    </row>
    <row r="75" spans="1:8" ht="13.5" x14ac:dyDescent="0.15">
      <c r="A75" t="s">
        <v>258</v>
      </c>
      <c r="B75" s="1" t="s">
        <v>259</v>
      </c>
      <c r="D75" s="1" t="s">
        <v>416</v>
      </c>
      <c r="E75" s="1" t="s">
        <v>417</v>
      </c>
      <c r="F75" s="1" t="s">
        <v>418</v>
      </c>
      <c r="H75" s="1" t="str">
        <f t="shared" si="1"/>
        <v>Case "会": pinyin = "Hui,Kuai,"</v>
      </c>
    </row>
    <row r="76" spans="1:8" s="3" customFormat="1" ht="13.5" x14ac:dyDescent="0.15">
      <c r="A76" s="2" t="s">
        <v>263</v>
      </c>
      <c r="B76" s="4" t="s">
        <v>541</v>
      </c>
      <c r="D76" s="3" t="s">
        <v>416</v>
      </c>
      <c r="E76" s="3" t="s">
        <v>417</v>
      </c>
      <c r="F76" s="3" t="s">
        <v>418</v>
      </c>
      <c r="H76" s="3" t="str">
        <f t="shared" si="1"/>
        <v>Case "奇": pinyin = "Qi,"</v>
      </c>
    </row>
    <row r="77" spans="1:8" ht="13.5" x14ac:dyDescent="0.15">
      <c r="A77" t="s">
        <v>563</v>
      </c>
      <c r="B77" s="4" t="s">
        <v>564</v>
      </c>
      <c r="D77" s="1" t="s">
        <v>416</v>
      </c>
      <c r="E77" s="1" t="s">
        <v>417</v>
      </c>
      <c r="F77" s="1" t="s">
        <v>418</v>
      </c>
      <c r="H77" s="1" t="str">
        <f t="shared" si="1"/>
        <v>Case "稽": pinyin = "Ji,"</v>
      </c>
    </row>
    <row r="78" spans="1:8" ht="13.5" x14ac:dyDescent="0.15">
      <c r="A78" t="s">
        <v>565</v>
      </c>
      <c r="B78" s="1" t="s">
        <v>262</v>
      </c>
      <c r="D78" s="1" t="s">
        <v>416</v>
      </c>
      <c r="E78" s="1" t="s">
        <v>417</v>
      </c>
      <c r="F78" s="1" t="s">
        <v>418</v>
      </c>
      <c r="H78" s="1" t="str">
        <f t="shared" si="1"/>
        <v>Case "亟": pinyin = "Ji,Qi,"</v>
      </c>
    </row>
    <row r="79" spans="1:8" ht="13.5" x14ac:dyDescent="0.15">
      <c r="A79" t="s">
        <v>260</v>
      </c>
      <c r="B79" s="1" t="s">
        <v>261</v>
      </c>
      <c r="D79" s="1" t="s">
        <v>416</v>
      </c>
      <c r="E79" s="1" t="s">
        <v>417</v>
      </c>
      <c r="F79" s="1" t="s">
        <v>418</v>
      </c>
      <c r="H79" s="1" t="str">
        <f t="shared" si="1"/>
        <v>Case "系": pinyin = "Ji,Xi,"</v>
      </c>
    </row>
    <row r="80" spans="1:8" ht="13.5" x14ac:dyDescent="0.15">
      <c r="A80" t="s">
        <v>488</v>
      </c>
      <c r="B80" s="1" t="s">
        <v>266</v>
      </c>
      <c r="D80" s="1" t="s">
        <v>416</v>
      </c>
      <c r="E80" s="1" t="s">
        <v>417</v>
      </c>
      <c r="F80" s="1" t="s">
        <v>418</v>
      </c>
      <c r="H80" s="1" t="str">
        <f t="shared" si="1"/>
        <v>Case "浅": pinyin = "Jian,Qian,"</v>
      </c>
    </row>
    <row r="81" spans="1:8" ht="13.5" x14ac:dyDescent="0.15">
      <c r="A81" t="s">
        <v>267</v>
      </c>
      <c r="B81" s="1" t="s">
        <v>268</v>
      </c>
      <c r="D81" s="1" t="s">
        <v>416</v>
      </c>
      <c r="E81" s="1" t="s">
        <v>417</v>
      </c>
      <c r="F81" s="1" t="s">
        <v>418</v>
      </c>
      <c r="H81" s="1" t="str">
        <f t="shared" si="1"/>
        <v>Case "降": pinyin = "Jiang,Xiang,"</v>
      </c>
    </row>
    <row r="82" spans="1:8" ht="13.5" x14ac:dyDescent="0.15">
      <c r="A82" t="s">
        <v>270</v>
      </c>
      <c r="B82" s="1" t="s">
        <v>269</v>
      </c>
      <c r="D82" s="1" t="s">
        <v>416</v>
      </c>
      <c r="E82" s="1" t="s">
        <v>417</v>
      </c>
      <c r="F82" s="1" t="s">
        <v>418</v>
      </c>
      <c r="H82" s="1" t="str">
        <f t="shared" si="1"/>
        <v>Case "角": pinyin = "Jiao,Jue,"</v>
      </c>
    </row>
    <row r="83" spans="1:8" ht="13.5" x14ac:dyDescent="0.15">
      <c r="A83" t="s">
        <v>271</v>
      </c>
      <c r="B83" s="1" t="s">
        <v>269</v>
      </c>
      <c r="D83" s="1" t="s">
        <v>416</v>
      </c>
      <c r="E83" s="1" t="s">
        <v>417</v>
      </c>
      <c r="F83" s="1" t="s">
        <v>418</v>
      </c>
      <c r="H83" s="1" t="str">
        <f t="shared" si="1"/>
        <v>Case "觉": pinyin = "Jiao,Jue,"</v>
      </c>
    </row>
    <row r="84" spans="1:8" ht="13.5" x14ac:dyDescent="0.15">
      <c r="A84" t="s">
        <v>272</v>
      </c>
      <c r="B84" s="1" t="s">
        <v>273</v>
      </c>
      <c r="D84" s="1" t="s">
        <v>416</v>
      </c>
      <c r="E84" s="1" t="s">
        <v>417</v>
      </c>
      <c r="F84" s="1" t="s">
        <v>418</v>
      </c>
      <c r="H84" s="1" t="str">
        <f t="shared" si="1"/>
        <v>Case "校": pinyin = "Jiao,Xiao,"</v>
      </c>
    </row>
    <row r="85" spans="1:8" ht="13.5" x14ac:dyDescent="0.15">
      <c r="A85" t="s">
        <v>274</v>
      </c>
      <c r="B85" s="1" t="s">
        <v>275</v>
      </c>
      <c r="D85" s="1" t="s">
        <v>416</v>
      </c>
      <c r="E85" s="1" t="s">
        <v>417</v>
      </c>
      <c r="F85" s="1" t="s">
        <v>418</v>
      </c>
      <c r="H85" s="1" t="str">
        <f t="shared" si="1"/>
        <v>Case "解": pinyin = "Jie,Xie,"</v>
      </c>
    </row>
    <row r="86" spans="1:8" ht="13.5" x14ac:dyDescent="0.15">
      <c r="A86" t="s">
        <v>276</v>
      </c>
      <c r="B86" s="1" t="s">
        <v>277</v>
      </c>
      <c r="D86" s="1" t="s">
        <v>416</v>
      </c>
      <c r="E86" s="1" t="s">
        <v>417</v>
      </c>
      <c r="F86" s="1" t="s">
        <v>418</v>
      </c>
      <c r="H86" s="1" t="str">
        <f t="shared" si="1"/>
        <v>Case "劲": pinyin = "Jin,Jing,"</v>
      </c>
    </row>
    <row r="87" spans="1:8" ht="13.5" x14ac:dyDescent="0.15">
      <c r="A87" t="s">
        <v>489</v>
      </c>
      <c r="B87" s="1" t="s">
        <v>490</v>
      </c>
      <c r="D87" s="1" t="s">
        <v>416</v>
      </c>
      <c r="E87" s="1" t="s">
        <v>417</v>
      </c>
      <c r="F87" s="1" t="s">
        <v>418</v>
      </c>
      <c r="H87" s="1" t="str">
        <f t="shared" si="1"/>
        <v>Case "咀": pinyin = "Ju,Zui,"</v>
      </c>
    </row>
    <row r="88" spans="1:8" ht="13.5" x14ac:dyDescent="0.15">
      <c r="A88" t="s">
        <v>278</v>
      </c>
      <c r="B88" s="1" t="s">
        <v>279</v>
      </c>
      <c r="D88" s="1" t="s">
        <v>416</v>
      </c>
      <c r="E88" s="1" t="s">
        <v>417</v>
      </c>
      <c r="F88" s="1" t="s">
        <v>418</v>
      </c>
      <c r="H88" s="1" t="str">
        <f t="shared" si="1"/>
        <v>Case "圈": pinyin = "Juan,Quan,"</v>
      </c>
    </row>
    <row r="89" spans="1:8" ht="13.5" x14ac:dyDescent="0.15">
      <c r="A89" t="s">
        <v>280</v>
      </c>
      <c r="B89" s="1" t="s">
        <v>281</v>
      </c>
      <c r="D89" s="1" t="s">
        <v>416</v>
      </c>
      <c r="E89" s="1" t="s">
        <v>417</v>
      </c>
      <c r="F89" s="1" t="s">
        <v>418</v>
      </c>
      <c r="H89" s="1" t="str">
        <f t="shared" si="1"/>
        <v>Case "卡": pinyin = "Ka,Qia,"</v>
      </c>
    </row>
    <row r="90" spans="1:8" ht="13.5" x14ac:dyDescent="0.15">
      <c r="A90" t="s">
        <v>282</v>
      </c>
      <c r="B90" s="1" t="s">
        <v>283</v>
      </c>
      <c r="D90" s="1" t="s">
        <v>416</v>
      </c>
      <c r="E90" s="1" t="s">
        <v>417</v>
      </c>
      <c r="F90" s="1" t="s">
        <v>418</v>
      </c>
      <c r="H90" s="1" t="str">
        <f t="shared" si="1"/>
        <v>Case "壳": pinyin = "Ke,Qiao,"</v>
      </c>
    </row>
    <row r="91" spans="1:8" ht="13.5" x14ac:dyDescent="0.15">
      <c r="A91" t="s">
        <v>491</v>
      </c>
      <c r="B91" s="4" t="s">
        <v>566</v>
      </c>
      <c r="D91" s="1" t="s">
        <v>416</v>
      </c>
      <c r="E91" s="1" t="s">
        <v>417</v>
      </c>
      <c r="F91" s="1" t="s">
        <v>418</v>
      </c>
      <c r="H91" s="1" t="str">
        <f t="shared" si="1"/>
        <v>Case "克": pinyin = "Ke,"</v>
      </c>
    </row>
    <row r="92" spans="1:8" ht="13.5" x14ac:dyDescent="0.15">
      <c r="A92" t="s">
        <v>284</v>
      </c>
      <c r="B92" s="1" t="s">
        <v>285</v>
      </c>
      <c r="D92" s="1" t="s">
        <v>416</v>
      </c>
      <c r="E92" s="1" t="s">
        <v>417</v>
      </c>
      <c r="F92" s="1" t="s">
        <v>418</v>
      </c>
      <c r="H92" s="1" t="str">
        <f t="shared" si="1"/>
        <v>Case "落": pinyin = "La,Lao,Luo,"</v>
      </c>
    </row>
    <row r="93" spans="1:8" ht="13.5" x14ac:dyDescent="0.15">
      <c r="A93" t="s">
        <v>554</v>
      </c>
      <c r="B93" s="4" t="s">
        <v>555</v>
      </c>
      <c r="D93" s="1" t="s">
        <v>416</v>
      </c>
      <c r="E93" s="1" t="s">
        <v>417</v>
      </c>
      <c r="F93" s="1" t="s">
        <v>418</v>
      </c>
      <c r="H93" s="1" t="str">
        <f t="shared" si="1"/>
        <v>Case "络": pinyin = "Luo,"</v>
      </c>
    </row>
    <row r="94" spans="1:8" ht="13.5" x14ac:dyDescent="0.15">
      <c r="A94" t="s">
        <v>556</v>
      </c>
      <c r="B94" s="4" t="s">
        <v>557</v>
      </c>
      <c r="D94" s="1" t="s">
        <v>416</v>
      </c>
      <c r="E94" s="1" t="s">
        <v>417</v>
      </c>
      <c r="F94" s="1" t="s">
        <v>418</v>
      </c>
      <c r="H94" s="1" t="str">
        <f t="shared" si="1"/>
        <v>Case "烙": pinyin = "Lao,"</v>
      </c>
    </row>
    <row r="95" spans="1:8" ht="13.5" x14ac:dyDescent="0.15">
      <c r="A95" t="s">
        <v>558</v>
      </c>
      <c r="B95" s="4" t="s">
        <v>559</v>
      </c>
      <c r="D95" s="1" t="s">
        <v>416</v>
      </c>
      <c r="E95" s="1" t="s">
        <v>417</v>
      </c>
      <c r="F95" s="1" t="s">
        <v>418</v>
      </c>
      <c r="H95" s="1" t="str">
        <f t="shared" si="1"/>
        <v>Case "肋": pinyin = "Lei,"</v>
      </c>
    </row>
    <row r="96" spans="1:8" ht="13.5" x14ac:dyDescent="0.15">
      <c r="A96" t="s">
        <v>293</v>
      </c>
      <c r="B96" s="1" t="s">
        <v>294</v>
      </c>
      <c r="D96" s="1" t="s">
        <v>416</v>
      </c>
      <c r="E96" s="1" t="s">
        <v>417</v>
      </c>
      <c r="F96" s="1" t="s">
        <v>418</v>
      </c>
      <c r="H96" s="1" t="str">
        <f t="shared" si="1"/>
        <v>Case "勒": pinyin = "Le,Lei,"</v>
      </c>
    </row>
    <row r="97" spans="1:8" ht="13.5" x14ac:dyDescent="0.15">
      <c r="A97" t="s">
        <v>291</v>
      </c>
      <c r="B97" s="1" t="s">
        <v>292</v>
      </c>
      <c r="D97" s="1" t="s">
        <v>416</v>
      </c>
      <c r="E97" s="1" t="s">
        <v>417</v>
      </c>
      <c r="F97" s="1" t="s">
        <v>418</v>
      </c>
      <c r="H97" s="1" t="str">
        <f t="shared" si="1"/>
        <v>Case "乐": pinyin = "Le,Yue,"</v>
      </c>
    </row>
    <row r="98" spans="1:8" ht="13.5" x14ac:dyDescent="0.15">
      <c r="A98" t="s">
        <v>289</v>
      </c>
      <c r="B98" s="1" t="s">
        <v>290</v>
      </c>
      <c r="D98" s="1" t="s">
        <v>416</v>
      </c>
      <c r="E98" s="1" t="s">
        <v>417</v>
      </c>
      <c r="F98" s="1" t="s">
        <v>418</v>
      </c>
      <c r="H98" s="1" t="str">
        <f t="shared" si="1"/>
        <v>Case "了": pinyin = "Le,Liao,"</v>
      </c>
    </row>
    <row r="99" spans="1:8" ht="13.5" x14ac:dyDescent="0.15">
      <c r="A99" t="s">
        <v>295</v>
      </c>
      <c r="B99" s="1" t="s">
        <v>296</v>
      </c>
      <c r="D99" s="1" t="s">
        <v>416</v>
      </c>
      <c r="E99" s="1" t="s">
        <v>417</v>
      </c>
      <c r="F99" s="1" t="s">
        <v>418</v>
      </c>
      <c r="H99" s="1" t="str">
        <f t="shared" si="1"/>
        <v>Case "弄": pinyin = "Long,Nong,"</v>
      </c>
    </row>
    <row r="100" spans="1:8" ht="13.5" x14ac:dyDescent="0.15">
      <c r="A100" t="s">
        <v>297</v>
      </c>
      <c r="B100" s="1" t="s">
        <v>298</v>
      </c>
      <c r="D100" s="1" t="s">
        <v>416</v>
      </c>
      <c r="E100" s="1" t="s">
        <v>417</v>
      </c>
      <c r="F100" s="1" t="s">
        <v>418</v>
      </c>
      <c r="H100" s="1" t="str">
        <f t="shared" si="1"/>
        <v>Case "露": pinyin = "Lou,Lu,"</v>
      </c>
    </row>
    <row r="101" spans="1:8" ht="13.5" x14ac:dyDescent="0.15">
      <c r="A101" t="s">
        <v>299</v>
      </c>
      <c r="B101" s="1" t="s">
        <v>494</v>
      </c>
      <c r="D101" s="1" t="s">
        <v>416</v>
      </c>
      <c r="E101" s="1" t="s">
        <v>417</v>
      </c>
      <c r="F101" s="1" t="s">
        <v>418</v>
      </c>
      <c r="H101" s="1" t="str">
        <f t="shared" si="1"/>
        <v>Case "绿": pinyin = "Lu,Luu,"</v>
      </c>
    </row>
    <row r="102" spans="1:8" ht="13.5" x14ac:dyDescent="0.15">
      <c r="A102" t="s">
        <v>300</v>
      </c>
      <c r="B102" s="1" t="s">
        <v>495</v>
      </c>
      <c r="D102" s="1" t="s">
        <v>416</v>
      </c>
      <c r="E102" s="1" t="s">
        <v>417</v>
      </c>
      <c r="F102" s="1" t="s">
        <v>418</v>
      </c>
      <c r="H102" s="1" t="str">
        <f t="shared" si="1"/>
        <v>Case "率": pinyin = "Luu,Shuai,"</v>
      </c>
    </row>
    <row r="103" spans="1:8" ht="13.5" x14ac:dyDescent="0.15">
      <c r="A103" t="s">
        <v>301</v>
      </c>
      <c r="B103" s="1" t="s">
        <v>302</v>
      </c>
      <c r="D103" s="1" t="s">
        <v>416</v>
      </c>
      <c r="E103" s="1" t="s">
        <v>417</v>
      </c>
      <c r="F103" s="1" t="s">
        <v>418</v>
      </c>
      <c r="H103" s="1" t="str">
        <f t="shared" si="1"/>
        <v>Case "抹": pinyin = "Ma,Mo,"</v>
      </c>
    </row>
    <row r="104" spans="1:8" ht="13.5" x14ac:dyDescent="0.15">
      <c r="A104" t="s">
        <v>303</v>
      </c>
      <c r="B104" s="1" t="s">
        <v>302</v>
      </c>
      <c r="D104" s="1" t="s">
        <v>416</v>
      </c>
      <c r="E104" s="1" t="s">
        <v>417</v>
      </c>
      <c r="F104" s="1" t="s">
        <v>418</v>
      </c>
      <c r="H104" s="1" t="str">
        <f t="shared" si="1"/>
        <v>Case "摩": pinyin = "Ma,Mo,"</v>
      </c>
    </row>
    <row r="105" spans="1:8" ht="13.5" x14ac:dyDescent="0.15">
      <c r="A105" t="s">
        <v>496</v>
      </c>
      <c r="B105" s="1" t="s">
        <v>497</v>
      </c>
      <c r="D105" s="1" t="s">
        <v>416</v>
      </c>
      <c r="E105" s="1" t="s">
        <v>417</v>
      </c>
      <c r="F105" s="1" t="s">
        <v>418</v>
      </c>
      <c r="H105" s="1" t="str">
        <f t="shared" si="1"/>
        <v>Case "么": pinyin = "Ma,Me,"</v>
      </c>
    </row>
    <row r="106" spans="1:8" ht="13.5" x14ac:dyDescent="0.15">
      <c r="A106" t="s">
        <v>304</v>
      </c>
      <c r="B106" s="1" t="s">
        <v>305</v>
      </c>
      <c r="D106" s="1" t="s">
        <v>416</v>
      </c>
      <c r="E106" s="1" t="s">
        <v>417</v>
      </c>
      <c r="F106" s="1" t="s">
        <v>418</v>
      </c>
      <c r="H106" s="1" t="str">
        <f t="shared" si="1"/>
        <v>Case "埋": pinyin = "Mai,Man,"</v>
      </c>
    </row>
    <row r="107" spans="1:8" ht="13.5" x14ac:dyDescent="0.15">
      <c r="A107" t="s">
        <v>306</v>
      </c>
      <c r="B107" s="1" t="s">
        <v>307</v>
      </c>
      <c r="D107" s="1" t="s">
        <v>416</v>
      </c>
      <c r="E107" s="1" t="s">
        <v>417</v>
      </c>
      <c r="F107" s="1" t="s">
        <v>418</v>
      </c>
      <c r="H107" s="1" t="str">
        <f t="shared" si="1"/>
        <v>Case "脉": pinyin = "Mai,Mo,"</v>
      </c>
    </row>
    <row r="108" spans="1:8" ht="13.5" x14ac:dyDescent="0.15">
      <c r="A108" t="s">
        <v>308</v>
      </c>
      <c r="B108" s="1" t="s">
        <v>309</v>
      </c>
      <c r="D108" s="1" t="s">
        <v>416</v>
      </c>
      <c r="E108" s="1" t="s">
        <v>417</v>
      </c>
      <c r="F108" s="1" t="s">
        <v>418</v>
      </c>
      <c r="H108" s="1" t="str">
        <f t="shared" si="1"/>
        <v>Case "蔓": pinyin = "Man,Wan,"</v>
      </c>
    </row>
    <row r="109" spans="1:8" ht="13.5" x14ac:dyDescent="0.15">
      <c r="A109" t="s">
        <v>310</v>
      </c>
      <c r="B109" s="1" t="s">
        <v>311</v>
      </c>
      <c r="D109" s="1" t="s">
        <v>416</v>
      </c>
      <c r="E109" s="1" t="s">
        <v>417</v>
      </c>
      <c r="F109" s="1" t="s">
        <v>418</v>
      </c>
      <c r="H109" s="1" t="str">
        <f t="shared" si="1"/>
        <v>Case "没": pinyin = "Mei,Mo,"</v>
      </c>
    </row>
    <row r="110" spans="1:8" ht="13.5" x14ac:dyDescent="0.15">
      <c r="A110" t="s">
        <v>498</v>
      </c>
      <c r="B110" s="1" t="s">
        <v>499</v>
      </c>
      <c r="D110" s="1" t="s">
        <v>416</v>
      </c>
      <c r="E110" s="1" t="s">
        <v>417</v>
      </c>
      <c r="F110" s="1" t="s">
        <v>418</v>
      </c>
      <c r="H110" s="1" t="str">
        <f t="shared" si="1"/>
        <v>Case "谋": pinyin = "Mo,Mou,"</v>
      </c>
    </row>
    <row r="111" spans="1:8" ht="13.5" x14ac:dyDescent="0.15">
      <c r="A111" t="s">
        <v>312</v>
      </c>
      <c r="B111" s="1" t="s">
        <v>313</v>
      </c>
      <c r="D111" s="1" t="s">
        <v>416</v>
      </c>
      <c r="E111" s="1" t="s">
        <v>417</v>
      </c>
      <c r="F111" s="1" t="s">
        <v>418</v>
      </c>
      <c r="H111" s="1" t="str">
        <f t="shared" si="1"/>
        <v>Case "模": pinyin = "Mo,Mu,"</v>
      </c>
    </row>
    <row r="112" spans="1:8" ht="13.5" x14ac:dyDescent="0.15">
      <c r="A112" t="s">
        <v>314</v>
      </c>
      <c r="B112" s="1" t="s">
        <v>500</v>
      </c>
      <c r="D112" s="1" t="s">
        <v>416</v>
      </c>
      <c r="E112" s="1" t="s">
        <v>417</v>
      </c>
      <c r="F112" s="1" t="s">
        <v>418</v>
      </c>
      <c r="H112" s="1" t="str">
        <f t="shared" si="1"/>
        <v>Case "哪": pinyin = "Na,Ne,Nei,"</v>
      </c>
    </row>
    <row r="113" spans="1:8" ht="13.5" x14ac:dyDescent="0.15">
      <c r="A113" t="s">
        <v>501</v>
      </c>
      <c r="B113" s="4" t="s">
        <v>542</v>
      </c>
      <c r="D113" s="1" t="s">
        <v>416</v>
      </c>
      <c r="E113" s="1" t="s">
        <v>417</v>
      </c>
      <c r="F113" s="1" t="s">
        <v>418</v>
      </c>
      <c r="H113" s="1" t="str">
        <f t="shared" si="1"/>
        <v>Case "那": pinyin = "Na,"</v>
      </c>
    </row>
    <row r="114" spans="1:8" ht="13.5" x14ac:dyDescent="0.15">
      <c r="A114" t="s">
        <v>315</v>
      </c>
      <c r="B114" s="1" t="s">
        <v>316</v>
      </c>
      <c r="D114" s="1" t="s">
        <v>416</v>
      </c>
      <c r="E114" s="1" t="s">
        <v>417</v>
      </c>
      <c r="F114" s="1" t="s">
        <v>418</v>
      </c>
      <c r="H114" s="1" t="str">
        <f t="shared" si="1"/>
        <v>Case "呢": pinyin = "Ne,Ni,"</v>
      </c>
    </row>
    <row r="115" spans="1:8" ht="13.5" x14ac:dyDescent="0.15">
      <c r="A115" t="s">
        <v>560</v>
      </c>
      <c r="B115" s="4" t="s">
        <v>561</v>
      </c>
      <c r="D115" s="1" t="s">
        <v>416</v>
      </c>
      <c r="E115" s="1" t="s">
        <v>417</v>
      </c>
      <c r="F115" s="1" t="s">
        <v>418</v>
      </c>
      <c r="H115" s="1" t="str">
        <f t="shared" si="1"/>
        <v>Case "溺": pinyin = "Ni,"</v>
      </c>
    </row>
    <row r="116" spans="1:8" ht="13.5" x14ac:dyDescent="0.15">
      <c r="A116" t="s">
        <v>505</v>
      </c>
      <c r="B116" s="1" t="s">
        <v>506</v>
      </c>
      <c r="D116" s="1" t="s">
        <v>416</v>
      </c>
      <c r="E116" s="1" t="s">
        <v>417</v>
      </c>
      <c r="F116" s="1" t="s">
        <v>418</v>
      </c>
      <c r="H116" s="1" t="str">
        <f t="shared" si="1"/>
        <v>Case "粘": pinyin = "Nian,Zhan,"</v>
      </c>
    </row>
    <row r="117" spans="1:8" ht="13.5" x14ac:dyDescent="0.15">
      <c r="A117" t="s">
        <v>317</v>
      </c>
      <c r="B117" s="1" t="s">
        <v>318</v>
      </c>
      <c r="D117" s="1" t="s">
        <v>416</v>
      </c>
      <c r="E117" s="1" t="s">
        <v>417</v>
      </c>
      <c r="F117" s="1" t="s">
        <v>418</v>
      </c>
      <c r="H117" s="1" t="str">
        <f t="shared" si="1"/>
        <v>Case "尿": pinyin = "Niao,Sui,"</v>
      </c>
    </row>
    <row r="118" spans="1:8" ht="13.5" x14ac:dyDescent="0.15">
      <c r="A118" t="s">
        <v>319</v>
      </c>
      <c r="B118" s="1" t="s">
        <v>320</v>
      </c>
      <c r="D118" s="1" t="s">
        <v>416</v>
      </c>
      <c r="E118" s="1" t="s">
        <v>417</v>
      </c>
      <c r="F118" s="1" t="s">
        <v>418</v>
      </c>
      <c r="H118" s="1" t="str">
        <f t="shared" si="1"/>
        <v>Case "喏": pinyin = "Nuo,Re,"</v>
      </c>
    </row>
    <row r="119" spans="1:8" ht="13.5" x14ac:dyDescent="0.15">
      <c r="A119" t="s">
        <v>321</v>
      </c>
      <c r="B119" s="1" t="s">
        <v>322</v>
      </c>
      <c r="D119" s="1" t="s">
        <v>416</v>
      </c>
      <c r="E119" s="1" t="s">
        <v>417</v>
      </c>
      <c r="F119" s="1" t="s">
        <v>418</v>
      </c>
      <c r="H119" s="1" t="str">
        <f t="shared" si="1"/>
        <v>Case "迫": pinyin = "Pai,Po,"</v>
      </c>
    </row>
    <row r="120" spans="1:8" ht="13.5" x14ac:dyDescent="0.15">
      <c r="A120" t="s">
        <v>323</v>
      </c>
      <c r="B120" s="1" t="s">
        <v>324</v>
      </c>
      <c r="D120" s="1" t="s">
        <v>416</v>
      </c>
      <c r="E120" s="1" t="s">
        <v>417</v>
      </c>
      <c r="F120" s="1" t="s">
        <v>418</v>
      </c>
      <c r="H120" s="1" t="str">
        <f t="shared" si="1"/>
        <v>Case "胖": pinyin = "Pan,Pang,"</v>
      </c>
    </row>
    <row r="121" spans="1:8" ht="13.5" x14ac:dyDescent="0.15">
      <c r="A121" t="s">
        <v>154</v>
      </c>
      <c r="B121" s="1" t="s">
        <v>507</v>
      </c>
      <c r="D121" s="1" t="s">
        <v>416</v>
      </c>
      <c r="E121" s="1" t="s">
        <v>417</v>
      </c>
      <c r="F121" s="1" t="s">
        <v>418</v>
      </c>
      <c r="H121" s="1" t="str">
        <f t="shared" si="1"/>
        <v>Case "陂": pinyin = "Pi,Po,"</v>
      </c>
    </row>
    <row r="122" spans="1:8" ht="13.5" x14ac:dyDescent="0.15">
      <c r="A122" t="s">
        <v>325</v>
      </c>
      <c r="B122" s="1" t="s">
        <v>326</v>
      </c>
      <c r="D122" s="1" t="s">
        <v>416</v>
      </c>
      <c r="E122" s="1" t="s">
        <v>417</v>
      </c>
      <c r="F122" s="1" t="s">
        <v>418</v>
      </c>
      <c r="H122" s="1" t="str">
        <f t="shared" si="1"/>
        <v>Case "朴": pinyin = "Piao,Po,Pu,"</v>
      </c>
    </row>
    <row r="123" spans="1:8" ht="13.5" x14ac:dyDescent="0.15">
      <c r="A123" t="s">
        <v>544</v>
      </c>
      <c r="B123" s="1" t="s">
        <v>327</v>
      </c>
      <c r="D123" s="1" t="s">
        <v>416</v>
      </c>
      <c r="E123" s="1" t="s">
        <v>417</v>
      </c>
      <c r="F123" s="1" t="s">
        <v>418</v>
      </c>
      <c r="H123" s="1" t="str">
        <f t="shared" si="1"/>
        <v>Case "栖": pinyin = "Qi,Xi,"</v>
      </c>
    </row>
    <row r="124" spans="1:8" ht="13.5" x14ac:dyDescent="0.15">
      <c r="A124" t="s">
        <v>509</v>
      </c>
      <c r="B124" s="1" t="s">
        <v>510</v>
      </c>
      <c r="D124" s="1" t="s">
        <v>416</v>
      </c>
      <c r="E124" s="1" t="s">
        <v>417</v>
      </c>
      <c r="F124" s="1" t="s">
        <v>418</v>
      </c>
      <c r="H124" s="1" t="str">
        <f t="shared" si="1"/>
        <v>Case "祗": pinyin = "Qi,Zhi,"</v>
      </c>
    </row>
    <row r="125" spans="1:8" ht="13.5" x14ac:dyDescent="0.15">
      <c r="A125" t="s">
        <v>328</v>
      </c>
      <c r="B125" s="1" t="s">
        <v>329</v>
      </c>
      <c r="D125" s="1" t="s">
        <v>416</v>
      </c>
      <c r="E125" s="1" t="s">
        <v>417</v>
      </c>
      <c r="F125" s="1" t="s">
        <v>418</v>
      </c>
      <c r="H125" s="1" t="str">
        <f t="shared" si="1"/>
        <v>Case "纤": pinyin = "Qian,Xian,"</v>
      </c>
    </row>
    <row r="126" spans="1:8" ht="13.5" x14ac:dyDescent="0.15">
      <c r="A126" t="s">
        <v>332</v>
      </c>
      <c r="B126" s="1" t="s">
        <v>333</v>
      </c>
      <c r="D126" s="1" t="s">
        <v>416</v>
      </c>
      <c r="E126" s="1" t="s">
        <v>417</v>
      </c>
      <c r="F126" s="1" t="s">
        <v>418</v>
      </c>
      <c r="H126" s="1" t="str">
        <f t="shared" si="1"/>
        <v>Case "茜": pinyin = "Qian,Xi,"</v>
      </c>
    </row>
    <row r="127" spans="1:8" ht="13.5" x14ac:dyDescent="0.15">
      <c r="A127" t="s">
        <v>330</v>
      </c>
      <c r="B127" s="1" t="s">
        <v>331</v>
      </c>
      <c r="D127" s="1" t="s">
        <v>416</v>
      </c>
      <c r="E127" s="1" t="s">
        <v>417</v>
      </c>
      <c r="F127" s="1" t="s">
        <v>418</v>
      </c>
      <c r="H127" s="1" t="str">
        <f t="shared" si="1"/>
        <v>Case "慊": pinyin = "Qian,Qie,"</v>
      </c>
    </row>
    <row r="128" spans="1:8" ht="13.5" x14ac:dyDescent="0.15">
      <c r="A128" t="s">
        <v>336</v>
      </c>
      <c r="B128" s="1" t="s">
        <v>337</v>
      </c>
      <c r="D128" s="1" t="s">
        <v>416</v>
      </c>
      <c r="E128" s="1" t="s">
        <v>417</v>
      </c>
      <c r="F128" s="1" t="s">
        <v>418</v>
      </c>
      <c r="H128" s="1" t="str">
        <f t="shared" si="1"/>
        <v>Case "雀": pinyin = "Qiao,Que,"</v>
      </c>
    </row>
    <row r="129" spans="1:8" ht="13.5" x14ac:dyDescent="0.15">
      <c r="A129" t="s">
        <v>334</v>
      </c>
      <c r="B129" s="1" t="s">
        <v>335</v>
      </c>
      <c r="D129" s="1" t="s">
        <v>416</v>
      </c>
      <c r="E129" s="1" t="s">
        <v>417</v>
      </c>
      <c r="F129" s="1" t="s">
        <v>418</v>
      </c>
      <c r="H129" s="1" t="str">
        <f t="shared" si="1"/>
        <v>Case "鞘": pinyin = "Qiao,Shao,"</v>
      </c>
    </row>
    <row r="130" spans="1:8" ht="13.5" x14ac:dyDescent="0.15">
      <c r="A130" t="s">
        <v>338</v>
      </c>
      <c r="B130" s="1" t="s">
        <v>339</v>
      </c>
      <c r="D130" s="1" t="s">
        <v>416</v>
      </c>
      <c r="E130" s="1" t="s">
        <v>417</v>
      </c>
      <c r="F130" s="1" t="s">
        <v>418</v>
      </c>
      <c r="H130" s="1" t="str">
        <f t="shared" ref="H130:H184" si="2">D130&amp;A130&amp;E130&amp;B130&amp;F130</f>
        <v>Case "亲": pinyin = "Qin,Qing,"</v>
      </c>
    </row>
    <row r="131" spans="1:8" ht="13.5" x14ac:dyDescent="0.15">
      <c r="A131" t="s">
        <v>340</v>
      </c>
      <c r="B131" s="1" t="s">
        <v>341</v>
      </c>
      <c r="D131" s="1" t="s">
        <v>416</v>
      </c>
      <c r="E131" s="1" t="s">
        <v>417</v>
      </c>
      <c r="F131" s="1" t="s">
        <v>418</v>
      </c>
      <c r="H131" s="1" t="str">
        <f t="shared" si="2"/>
        <v>Case "塞": pinyin = "Sai,Se,"</v>
      </c>
    </row>
    <row r="132" spans="1:8" ht="13.5" x14ac:dyDescent="0.15">
      <c r="A132" t="s">
        <v>511</v>
      </c>
      <c r="B132" s="1" t="s">
        <v>512</v>
      </c>
      <c r="D132" s="1" t="s">
        <v>416</v>
      </c>
      <c r="E132" s="1" t="s">
        <v>417</v>
      </c>
      <c r="F132" s="1" t="s">
        <v>418</v>
      </c>
      <c r="H132" s="1" t="str">
        <f t="shared" si="2"/>
        <v>Case "糁": pinyin = "San,Shen,"</v>
      </c>
    </row>
    <row r="133" spans="1:8" ht="13.5" x14ac:dyDescent="0.15">
      <c r="A133" t="s">
        <v>342</v>
      </c>
      <c r="B133" s="4" t="s">
        <v>543</v>
      </c>
      <c r="D133" s="1" t="s">
        <v>416</v>
      </c>
      <c r="E133" s="1" t="s">
        <v>417</v>
      </c>
      <c r="F133" s="1" t="s">
        <v>418</v>
      </c>
      <c r="H133" s="1" t="str">
        <f t="shared" si="2"/>
        <v>Case "色": pinyin = "Se,"</v>
      </c>
    </row>
    <row r="134" spans="1:8" ht="13.5" x14ac:dyDescent="0.15">
      <c r="A134" t="s">
        <v>344</v>
      </c>
      <c r="B134" s="1" t="s">
        <v>345</v>
      </c>
      <c r="D134" s="1" t="s">
        <v>416</v>
      </c>
      <c r="E134" s="1" t="s">
        <v>417</v>
      </c>
      <c r="F134" s="1" t="s">
        <v>418</v>
      </c>
      <c r="H134" s="1" t="str">
        <f t="shared" si="2"/>
        <v>Case "厦": pinyin = "Sha,Xia,"</v>
      </c>
    </row>
    <row r="135" spans="1:8" ht="13.5" x14ac:dyDescent="0.15">
      <c r="A135" t="s">
        <v>346</v>
      </c>
      <c r="B135" s="1" t="s">
        <v>347</v>
      </c>
      <c r="D135" s="1" t="s">
        <v>416</v>
      </c>
      <c r="E135" s="1" t="s">
        <v>417</v>
      </c>
      <c r="F135" s="1" t="s">
        <v>418</v>
      </c>
      <c r="H135" s="1" t="str">
        <f t="shared" si="2"/>
        <v>Case "栅": pinyin = "Shan,Zha,"</v>
      </c>
    </row>
    <row r="136" spans="1:8" ht="13.5" x14ac:dyDescent="0.15">
      <c r="A136" t="s">
        <v>348</v>
      </c>
      <c r="B136" s="1" t="s">
        <v>349</v>
      </c>
      <c r="D136" s="1" t="s">
        <v>416</v>
      </c>
      <c r="E136" s="1" t="s">
        <v>417</v>
      </c>
      <c r="F136" s="1" t="s">
        <v>418</v>
      </c>
      <c r="H136" s="1" t="str">
        <f t="shared" si="2"/>
        <v>Case "苕": pinyin = "Shao,Tiao,"</v>
      </c>
    </row>
    <row r="137" spans="1:8" ht="13.5" x14ac:dyDescent="0.15">
      <c r="A137" t="s">
        <v>350</v>
      </c>
      <c r="B137" s="1" t="s">
        <v>351</v>
      </c>
      <c r="D137" s="1" t="s">
        <v>416</v>
      </c>
      <c r="E137" s="1" t="s">
        <v>417</v>
      </c>
      <c r="F137" s="1" t="s">
        <v>418</v>
      </c>
      <c r="H137" s="1" t="str">
        <f t="shared" si="2"/>
        <v>Case "折": pinyin = "She,Zhe,"</v>
      </c>
    </row>
    <row r="138" spans="1:8" ht="13.5" x14ac:dyDescent="0.15">
      <c r="A138" t="s">
        <v>513</v>
      </c>
      <c r="B138" s="1" t="s">
        <v>514</v>
      </c>
      <c r="D138" s="1" t="s">
        <v>416</v>
      </c>
      <c r="E138" s="1" t="s">
        <v>417</v>
      </c>
      <c r="F138" s="1" t="s">
        <v>418</v>
      </c>
      <c r="H138" s="1" t="str">
        <f t="shared" si="2"/>
        <v>Case "谁": pinyin = "Shei,Shui,"</v>
      </c>
    </row>
    <row r="139" spans="1:8" ht="13.5" x14ac:dyDescent="0.15">
      <c r="A139" t="s">
        <v>354</v>
      </c>
      <c r="B139" s="1" t="s">
        <v>355</v>
      </c>
      <c r="D139" s="1" t="s">
        <v>416</v>
      </c>
      <c r="E139" s="1" t="s">
        <v>417</v>
      </c>
      <c r="F139" s="1" t="s">
        <v>418</v>
      </c>
      <c r="H139" s="1" t="str">
        <f t="shared" si="2"/>
        <v>Case "莘": pinyin = "Shen,Xin,"</v>
      </c>
    </row>
    <row r="140" spans="1:8" ht="13.5" x14ac:dyDescent="0.15">
      <c r="A140" t="s">
        <v>352</v>
      </c>
      <c r="B140" s="1" t="s">
        <v>353</v>
      </c>
      <c r="D140" s="1" t="s">
        <v>416</v>
      </c>
      <c r="E140" s="1" t="s">
        <v>417</v>
      </c>
      <c r="F140" s="1" t="s">
        <v>418</v>
      </c>
      <c r="H140" s="1" t="str">
        <f t="shared" si="2"/>
        <v>Case "什": pinyin = "Shen,Shi,"</v>
      </c>
    </row>
    <row r="141" spans="1:8" ht="13.5" x14ac:dyDescent="0.15">
      <c r="A141" t="s">
        <v>356</v>
      </c>
      <c r="B141" s="1" t="s">
        <v>357</v>
      </c>
      <c r="D141" s="1" t="s">
        <v>416</v>
      </c>
      <c r="E141" s="1" t="s">
        <v>417</v>
      </c>
      <c r="F141" s="1" t="s">
        <v>418</v>
      </c>
      <c r="H141" s="1" t="str">
        <f t="shared" si="2"/>
        <v>Case "省": pinyin = "Sheng,Xing,"</v>
      </c>
    </row>
    <row r="142" spans="1:8" ht="13.5" x14ac:dyDescent="0.15">
      <c r="A142" t="s">
        <v>515</v>
      </c>
      <c r="B142" s="1" t="s">
        <v>516</v>
      </c>
      <c r="D142" s="1" t="s">
        <v>416</v>
      </c>
      <c r="E142" s="1" t="s">
        <v>417</v>
      </c>
      <c r="F142" s="1" t="s">
        <v>418</v>
      </c>
      <c r="H142" s="1" t="str">
        <f t="shared" si="2"/>
        <v>Case "嘘": pinyin = "Shi,Xu,"</v>
      </c>
    </row>
    <row r="143" spans="1:8" ht="13.5" x14ac:dyDescent="0.15">
      <c r="A143" t="s">
        <v>562</v>
      </c>
      <c r="B143" s="1" t="s">
        <v>359</v>
      </c>
      <c r="D143" s="1" t="s">
        <v>416</v>
      </c>
      <c r="E143" s="1" t="s">
        <v>417</v>
      </c>
      <c r="F143" s="1" t="s">
        <v>418</v>
      </c>
      <c r="H143" s="1" t="str">
        <f t="shared" si="2"/>
        <v>Case "识": pinyin = "Shi,Zhi,"</v>
      </c>
    </row>
    <row r="144" spans="1:8" ht="13.5" x14ac:dyDescent="0.15">
      <c r="A144" t="s">
        <v>517</v>
      </c>
      <c r="B144" s="1" t="s">
        <v>361</v>
      </c>
      <c r="D144" s="1" t="s">
        <v>416</v>
      </c>
      <c r="E144" s="1" t="s">
        <v>417</v>
      </c>
      <c r="F144" s="1" t="s">
        <v>418</v>
      </c>
      <c r="H144" s="1" t="str">
        <f t="shared" si="2"/>
        <v>Case "食": pinyin = "Shi,Si,"</v>
      </c>
    </row>
    <row r="145" spans="1:8" ht="13.5" x14ac:dyDescent="0.15">
      <c r="A145" t="s">
        <v>360</v>
      </c>
      <c r="B145" s="1" t="s">
        <v>361</v>
      </c>
      <c r="D145" s="1" t="s">
        <v>416</v>
      </c>
      <c r="E145" s="1" t="s">
        <v>417</v>
      </c>
      <c r="F145" s="1" t="s">
        <v>418</v>
      </c>
      <c r="H145" s="1" t="str">
        <f t="shared" si="2"/>
        <v>Case "似": pinyin = "Shi,Si,"</v>
      </c>
    </row>
    <row r="146" spans="1:8" ht="13.5" x14ac:dyDescent="0.15">
      <c r="A146" t="s">
        <v>362</v>
      </c>
      <c r="B146" s="1" t="s">
        <v>359</v>
      </c>
      <c r="D146" s="1" t="s">
        <v>416</v>
      </c>
      <c r="E146" s="1" t="s">
        <v>417</v>
      </c>
      <c r="F146" s="1" t="s">
        <v>418</v>
      </c>
      <c r="H146" s="1" t="str">
        <f t="shared" si="2"/>
        <v>Case "峙": pinyin = "Shi,Zhi,"</v>
      </c>
    </row>
    <row r="147" spans="1:8" ht="13.5" x14ac:dyDescent="0.15">
      <c r="A147" t="s">
        <v>546</v>
      </c>
      <c r="B147" s="1" t="s">
        <v>519</v>
      </c>
      <c r="D147" s="1" t="s">
        <v>416</v>
      </c>
      <c r="E147" s="1" t="s">
        <v>417</v>
      </c>
      <c r="F147" s="1" t="s">
        <v>418</v>
      </c>
      <c r="H147" s="1" t="str">
        <f t="shared" si="2"/>
        <v>Case "螫": pinyin = "Shi,Zhe,"</v>
      </c>
    </row>
    <row r="148" spans="1:8" ht="13.5" x14ac:dyDescent="0.15">
      <c r="A148" t="s">
        <v>520</v>
      </c>
      <c r="B148" s="1" t="s">
        <v>521</v>
      </c>
      <c r="D148" s="1" t="s">
        <v>416</v>
      </c>
      <c r="E148" s="1" t="s">
        <v>417</v>
      </c>
      <c r="F148" s="1" t="s">
        <v>418</v>
      </c>
      <c r="H148" s="1" t="str">
        <f t="shared" si="2"/>
        <v>Case "熟": pinyin = "Shou,Shu,"</v>
      </c>
    </row>
    <row r="149" spans="1:8" ht="13.5" x14ac:dyDescent="0.15">
      <c r="A149" t="s">
        <v>365</v>
      </c>
      <c r="B149" s="1" t="s">
        <v>366</v>
      </c>
      <c r="D149" s="1" t="s">
        <v>416</v>
      </c>
      <c r="E149" s="1" t="s">
        <v>417</v>
      </c>
      <c r="F149" s="1" t="s">
        <v>418</v>
      </c>
      <c r="H149" s="1" t="str">
        <f t="shared" si="2"/>
        <v>Case "属": pinyin = "Shu,Zhu,"</v>
      </c>
    </row>
    <row r="150" spans="1:8" ht="13.5" x14ac:dyDescent="0.15">
      <c r="A150" t="s">
        <v>363</v>
      </c>
      <c r="B150" s="1" t="s">
        <v>364</v>
      </c>
      <c r="D150" s="1" t="s">
        <v>416</v>
      </c>
      <c r="E150" s="1" t="s">
        <v>417</v>
      </c>
      <c r="F150" s="1" t="s">
        <v>418</v>
      </c>
      <c r="H150" s="1" t="str">
        <f t="shared" si="2"/>
        <v>Case "数": pinyin = "Shu,Shuo,"</v>
      </c>
    </row>
    <row r="151" spans="1:8" ht="13.5" x14ac:dyDescent="0.15">
      <c r="A151" t="s">
        <v>367</v>
      </c>
      <c r="B151" s="1" t="s">
        <v>366</v>
      </c>
      <c r="D151" s="1" t="s">
        <v>416</v>
      </c>
      <c r="E151" s="1" t="s">
        <v>417</v>
      </c>
      <c r="F151" s="1" t="s">
        <v>418</v>
      </c>
      <c r="H151" s="1" t="str">
        <f t="shared" si="2"/>
        <v>Case "术": pinyin = "Shu,Zhu,"</v>
      </c>
    </row>
    <row r="152" spans="1:8" ht="13.5" x14ac:dyDescent="0.15">
      <c r="A152" t="s">
        <v>551</v>
      </c>
      <c r="B152" s="1" t="s">
        <v>522</v>
      </c>
      <c r="D152" s="1" t="s">
        <v>416</v>
      </c>
      <c r="E152" s="1" t="s">
        <v>417</v>
      </c>
      <c r="F152" s="1" t="s">
        <v>418</v>
      </c>
      <c r="H152" s="1" t="str">
        <f t="shared" si="2"/>
        <v>Case "说": pinyin = "Shui,Shuo,"</v>
      </c>
    </row>
    <row r="153" spans="1:8" ht="13.5" x14ac:dyDescent="0.15">
      <c r="A153" t="s">
        <v>369</v>
      </c>
      <c r="B153" s="1" t="s">
        <v>370</v>
      </c>
      <c r="D153" s="1" t="s">
        <v>416</v>
      </c>
      <c r="E153" s="1" t="s">
        <v>417</v>
      </c>
      <c r="F153" s="1" t="s">
        <v>418</v>
      </c>
      <c r="H153" s="1" t="str">
        <f t="shared" si="2"/>
        <v>Case "宿": pinyin = "Su,Xiu,"</v>
      </c>
    </row>
    <row r="154" spans="1:8" ht="13.5" x14ac:dyDescent="0.15">
      <c r="A154" t="s">
        <v>371</v>
      </c>
      <c r="B154" s="1" t="s">
        <v>372</v>
      </c>
      <c r="D154" s="1" t="s">
        <v>416</v>
      </c>
      <c r="E154" s="1" t="s">
        <v>417</v>
      </c>
      <c r="F154" s="1" t="s">
        <v>418</v>
      </c>
      <c r="H154" s="1" t="str">
        <f t="shared" si="2"/>
        <v>Case "缩": pinyin = "Su,Suo,"</v>
      </c>
    </row>
    <row r="155" spans="1:8" ht="13.5" x14ac:dyDescent="0.15">
      <c r="A155" t="s">
        <v>373</v>
      </c>
      <c r="B155" s="1" t="s">
        <v>374</v>
      </c>
      <c r="D155" s="1" t="s">
        <v>416</v>
      </c>
      <c r="E155" s="1" t="s">
        <v>417</v>
      </c>
      <c r="F155" s="1" t="s">
        <v>418</v>
      </c>
      <c r="H155" s="1" t="str">
        <f t="shared" si="2"/>
        <v>Case "拓": pinyin = "Ta,Tuo,"</v>
      </c>
    </row>
    <row r="156" spans="1:8" ht="13.5" x14ac:dyDescent="0.15">
      <c r="A156" t="s">
        <v>523</v>
      </c>
      <c r="B156" s="1" t="s">
        <v>524</v>
      </c>
      <c r="D156" s="1" t="s">
        <v>416</v>
      </c>
      <c r="E156" s="1" t="s">
        <v>417</v>
      </c>
      <c r="F156" s="1" t="s">
        <v>418</v>
      </c>
      <c r="H156" s="1" t="str">
        <f t="shared" si="2"/>
        <v>Case "忒": pinyin = "Te,Tui,"</v>
      </c>
    </row>
    <row r="157" spans="1:8" ht="13.5" x14ac:dyDescent="0.15">
      <c r="A157" t="s">
        <v>525</v>
      </c>
      <c r="B157" s="1" t="s">
        <v>526</v>
      </c>
      <c r="D157" s="1" t="s">
        <v>416</v>
      </c>
      <c r="E157" s="1" t="s">
        <v>417</v>
      </c>
      <c r="F157" s="1" t="s">
        <v>418</v>
      </c>
      <c r="H157" s="1" t="str">
        <f t="shared" si="2"/>
        <v>Case "僮": pinyin = "Tong,Zhuang,"</v>
      </c>
    </row>
    <row r="158" spans="1:8" ht="13.5" x14ac:dyDescent="0.15">
      <c r="A158" t="s">
        <v>375</v>
      </c>
      <c r="B158" s="1" t="s">
        <v>376</v>
      </c>
      <c r="D158" s="1" t="s">
        <v>416</v>
      </c>
      <c r="E158" s="1" t="s">
        <v>417</v>
      </c>
      <c r="F158" s="1" t="s">
        <v>418</v>
      </c>
      <c r="H158" s="1" t="str">
        <f t="shared" si="2"/>
        <v>Case "褪": pinyin = "Tui,Tun,"</v>
      </c>
    </row>
    <row r="159" spans="1:8" ht="13.5" x14ac:dyDescent="0.15">
      <c r="A159" t="s">
        <v>382</v>
      </c>
      <c r="B159" s="1" t="s">
        <v>383</v>
      </c>
      <c r="D159" s="1" t="s">
        <v>416</v>
      </c>
      <c r="E159" s="1" t="s">
        <v>417</v>
      </c>
      <c r="F159" s="1" t="s">
        <v>418</v>
      </c>
      <c r="H159" s="1" t="str">
        <f t="shared" si="2"/>
        <v>Case "圩": pinyin = "Wei,Xu,"</v>
      </c>
    </row>
    <row r="160" spans="1:8" ht="13.5" x14ac:dyDescent="0.15">
      <c r="A160" t="s">
        <v>377</v>
      </c>
      <c r="B160" s="4" t="s">
        <v>545</v>
      </c>
      <c r="D160" s="1" t="s">
        <v>416</v>
      </c>
      <c r="E160" s="1" t="s">
        <v>417</v>
      </c>
      <c r="F160" s="1" t="s">
        <v>418</v>
      </c>
      <c r="H160" s="1" t="str">
        <f t="shared" si="2"/>
        <v>Case "尾": pinyin = "Wei,"</v>
      </c>
    </row>
    <row r="161" spans="1:8" ht="13.5" x14ac:dyDescent="0.15">
      <c r="A161" t="s">
        <v>381</v>
      </c>
      <c r="B161" s="1" t="s">
        <v>380</v>
      </c>
      <c r="D161" s="1" t="s">
        <v>416</v>
      </c>
      <c r="E161" s="1" t="s">
        <v>417</v>
      </c>
      <c r="F161" s="1" t="s">
        <v>418</v>
      </c>
      <c r="H161" s="1" t="str">
        <f t="shared" si="2"/>
        <v>Case "尉": pinyin = "Wei,Yu,"</v>
      </c>
    </row>
    <row r="162" spans="1:8" ht="13.5" x14ac:dyDescent="0.15">
      <c r="A162" t="s">
        <v>379</v>
      </c>
      <c r="B162" s="1" t="s">
        <v>380</v>
      </c>
      <c r="D162" s="1" t="s">
        <v>416</v>
      </c>
      <c r="E162" s="1" t="s">
        <v>417</v>
      </c>
      <c r="F162" s="1" t="s">
        <v>418</v>
      </c>
      <c r="H162" s="1" t="str">
        <f t="shared" si="2"/>
        <v>Case "蔚": pinyin = "Wei,Yu,"</v>
      </c>
    </row>
    <row r="163" spans="1:8" ht="13.5" x14ac:dyDescent="0.15">
      <c r="A163" t="s">
        <v>384</v>
      </c>
      <c r="B163" s="1" t="s">
        <v>385</v>
      </c>
      <c r="D163" s="1" t="s">
        <v>416</v>
      </c>
      <c r="E163" s="1" t="s">
        <v>417</v>
      </c>
      <c r="F163" s="1" t="s">
        <v>418</v>
      </c>
      <c r="H163" s="1" t="str">
        <f t="shared" si="2"/>
        <v>Case "削": pinyin = "Xiao,Xue,"</v>
      </c>
    </row>
    <row r="164" spans="1:8" ht="13.5" x14ac:dyDescent="0.15">
      <c r="A164" t="s">
        <v>386</v>
      </c>
      <c r="B164" s="1" t="s">
        <v>387</v>
      </c>
      <c r="D164" s="1" t="s">
        <v>416</v>
      </c>
      <c r="E164" s="1" t="s">
        <v>417</v>
      </c>
      <c r="F164" s="1" t="s">
        <v>418</v>
      </c>
      <c r="H164" s="1" t="str">
        <f t="shared" si="2"/>
        <v>Case "血": pinyin = "Xie,Xue,"</v>
      </c>
    </row>
    <row r="165" spans="1:8" ht="13.5" x14ac:dyDescent="0.15">
      <c r="A165" t="s">
        <v>388</v>
      </c>
      <c r="B165" s="1" t="s">
        <v>389</v>
      </c>
      <c r="D165" s="1" t="s">
        <v>416</v>
      </c>
      <c r="E165" s="1" t="s">
        <v>417</v>
      </c>
      <c r="F165" s="1" t="s">
        <v>418</v>
      </c>
      <c r="H165" s="1" t="str">
        <f t="shared" si="2"/>
        <v>Case "吁": pinyin = "Xu,Yu,"</v>
      </c>
    </row>
    <row r="166" spans="1:8" ht="13.5" x14ac:dyDescent="0.15">
      <c r="A166" t="s">
        <v>390</v>
      </c>
      <c r="B166" s="1" t="s">
        <v>391</v>
      </c>
      <c r="D166" s="1" t="s">
        <v>416</v>
      </c>
      <c r="E166" s="1" t="s">
        <v>417</v>
      </c>
      <c r="F166" s="1" t="s">
        <v>418</v>
      </c>
      <c r="H166" s="1" t="str">
        <f t="shared" si="2"/>
        <v>Case "轧": pinyin = "Ya,Zha,"</v>
      </c>
    </row>
    <row r="167" spans="1:8" ht="13.5" x14ac:dyDescent="0.15">
      <c r="A167" t="s">
        <v>392</v>
      </c>
      <c r="B167" s="1" t="s">
        <v>393</v>
      </c>
      <c r="D167" s="1" t="s">
        <v>416</v>
      </c>
      <c r="E167" s="1" t="s">
        <v>417</v>
      </c>
      <c r="F167" s="1" t="s">
        <v>418</v>
      </c>
      <c r="H167" s="1" t="str">
        <f t="shared" si="2"/>
        <v>Case "殷": pinyin = "Yan,Yin,"</v>
      </c>
    </row>
    <row r="168" spans="1:8" ht="13.5" x14ac:dyDescent="0.15">
      <c r="A168" t="s">
        <v>394</v>
      </c>
      <c r="B168" s="1" t="s">
        <v>395</v>
      </c>
      <c r="D168" s="1" t="s">
        <v>416</v>
      </c>
      <c r="E168" s="1" t="s">
        <v>417</v>
      </c>
      <c r="F168" s="1" t="s">
        <v>418</v>
      </c>
      <c r="H168" s="1" t="str">
        <f t="shared" si="2"/>
        <v>Case "芫": pinyin = "Yan,Yuan,"</v>
      </c>
    </row>
    <row r="169" spans="1:8" ht="13.5" x14ac:dyDescent="0.15">
      <c r="A169" t="s">
        <v>527</v>
      </c>
      <c r="B169" s="1" t="s">
        <v>397</v>
      </c>
      <c r="D169" s="1" t="s">
        <v>416</v>
      </c>
      <c r="E169" s="1" t="s">
        <v>417</v>
      </c>
      <c r="F169" s="1" t="s">
        <v>418</v>
      </c>
      <c r="H169" s="1" t="str">
        <f t="shared" si="2"/>
        <v>Case "约": pinyin = "Yao,Yue,"</v>
      </c>
    </row>
    <row r="170" spans="1:8" ht="13.5" x14ac:dyDescent="0.15">
      <c r="A170" t="s">
        <v>549</v>
      </c>
      <c r="B170" s="4" t="s">
        <v>550</v>
      </c>
      <c r="D170" s="1" t="s">
        <v>416</v>
      </c>
      <c r="E170" s="1" t="s">
        <v>417</v>
      </c>
      <c r="F170" s="1" t="s">
        <v>418</v>
      </c>
      <c r="H170" s="1" t="str">
        <f t="shared" si="2"/>
        <v>Case "钥": pinyin = "Yao,"</v>
      </c>
    </row>
    <row r="171" spans="1:8" ht="13.5" x14ac:dyDescent="0.15">
      <c r="A171" t="s">
        <v>398</v>
      </c>
      <c r="B171" s="1" t="s">
        <v>399</v>
      </c>
      <c r="D171" s="1" t="s">
        <v>416</v>
      </c>
      <c r="E171" s="1" t="s">
        <v>417</v>
      </c>
      <c r="F171" s="1" t="s">
        <v>418</v>
      </c>
      <c r="H171" s="1" t="str">
        <f t="shared" si="2"/>
        <v>Case "熨": pinyin = "Yu,Yun,"</v>
      </c>
    </row>
    <row r="172" spans="1:8" ht="13.5" x14ac:dyDescent="0.15">
      <c r="A172" t="s">
        <v>400</v>
      </c>
      <c r="B172" s="1" t="s">
        <v>401</v>
      </c>
      <c r="D172" s="1" t="s">
        <v>416</v>
      </c>
      <c r="E172" s="1" t="s">
        <v>417</v>
      </c>
      <c r="F172" s="1" t="s">
        <v>418</v>
      </c>
      <c r="H172" s="1" t="str">
        <f t="shared" si="2"/>
        <v>Case "员": pinyin = "Yuan,Yun,"</v>
      </c>
    </row>
    <row r="173" spans="1:8" ht="13.5" x14ac:dyDescent="0.15">
      <c r="A173" t="s">
        <v>406</v>
      </c>
      <c r="B173" s="1" t="s">
        <v>407</v>
      </c>
      <c r="D173" s="1" t="s">
        <v>416</v>
      </c>
      <c r="E173" s="1" t="s">
        <v>417</v>
      </c>
      <c r="F173" s="1" t="s">
        <v>418</v>
      </c>
      <c r="H173" s="1" t="str">
        <f t="shared" si="2"/>
        <v>Case "拶": pinyin = "Za,Zan,"</v>
      </c>
    </row>
    <row r="174" spans="1:8" ht="13.5" x14ac:dyDescent="0.15">
      <c r="A174" t="s">
        <v>402</v>
      </c>
      <c r="B174" s="1" t="s">
        <v>403</v>
      </c>
      <c r="D174" s="1" t="s">
        <v>416</v>
      </c>
      <c r="E174" s="1" t="s">
        <v>417</v>
      </c>
      <c r="F174" s="1" t="s">
        <v>418</v>
      </c>
      <c r="H174" s="1" t="str">
        <f t="shared" si="2"/>
        <v>Case "咋": pinyin = "Za,Ze,Zha,"</v>
      </c>
    </row>
    <row r="175" spans="1:8" ht="13.5" x14ac:dyDescent="0.15">
      <c r="A175" t="s">
        <v>404</v>
      </c>
      <c r="B175" s="1" t="s">
        <v>405</v>
      </c>
      <c r="D175" s="1" t="s">
        <v>416</v>
      </c>
      <c r="E175" s="1" t="s">
        <v>417</v>
      </c>
      <c r="F175" s="1" t="s">
        <v>418</v>
      </c>
      <c r="H175" s="1" t="str">
        <f t="shared" si="2"/>
        <v>Case "扎": pinyin = "Za,Zha,"</v>
      </c>
    </row>
    <row r="176" spans="1:8" ht="13.5" x14ac:dyDescent="0.15">
      <c r="A176" t="s">
        <v>548</v>
      </c>
      <c r="B176" s="1" t="s">
        <v>529</v>
      </c>
      <c r="D176" s="1" t="s">
        <v>416</v>
      </c>
      <c r="E176" s="1" t="s">
        <v>417</v>
      </c>
      <c r="F176" s="1" t="s">
        <v>418</v>
      </c>
      <c r="H176" s="1" t="str">
        <f t="shared" si="2"/>
        <v>Case "仔": pinyin = "Zai,Zi,"</v>
      </c>
    </row>
    <row r="177" spans="1:8" ht="13.5" x14ac:dyDescent="0.15">
      <c r="A177" t="s">
        <v>530</v>
      </c>
      <c r="B177" s="1" t="s">
        <v>531</v>
      </c>
      <c r="D177" s="1" t="s">
        <v>416</v>
      </c>
      <c r="E177" s="1" t="s">
        <v>417</v>
      </c>
      <c r="F177" s="1" t="s">
        <v>418</v>
      </c>
      <c r="H177" s="1" t="str">
        <f t="shared" si="2"/>
        <v>Case "奘": pinyin = "Zang,Zhuang,"</v>
      </c>
    </row>
    <row r="178" spans="1:8" ht="13.5" x14ac:dyDescent="0.15">
      <c r="A178" t="s">
        <v>408</v>
      </c>
      <c r="B178" s="1" t="s">
        <v>409</v>
      </c>
      <c r="D178" s="1" t="s">
        <v>416</v>
      </c>
      <c r="E178" s="1" t="s">
        <v>417</v>
      </c>
      <c r="F178" s="1" t="s">
        <v>418</v>
      </c>
      <c r="H178" s="1" t="str">
        <f t="shared" si="2"/>
        <v>Case "择": pinyin = "Ze,Zhai,"</v>
      </c>
    </row>
    <row r="179" spans="1:8" ht="13.5" x14ac:dyDescent="0.15">
      <c r="A179" t="s">
        <v>410</v>
      </c>
      <c r="B179" s="1" t="s">
        <v>411</v>
      </c>
      <c r="D179" s="1" t="s">
        <v>416</v>
      </c>
      <c r="E179" s="1" t="s">
        <v>417</v>
      </c>
      <c r="F179" s="1" t="s">
        <v>418</v>
      </c>
      <c r="H179" s="1" t="str">
        <f t="shared" si="2"/>
        <v>Case "着": pinyin = "Zhao,Zhe,Zhuo,"</v>
      </c>
    </row>
    <row r="180" spans="1:8" ht="13.5" x14ac:dyDescent="0.15">
      <c r="A180" t="s">
        <v>412</v>
      </c>
      <c r="B180" s="1" t="s">
        <v>413</v>
      </c>
      <c r="D180" s="1" t="s">
        <v>416</v>
      </c>
      <c r="E180" s="1" t="s">
        <v>417</v>
      </c>
      <c r="F180" s="1" t="s">
        <v>418</v>
      </c>
      <c r="H180" s="1" t="str">
        <f t="shared" si="2"/>
        <v>Case "爪": pinyin = "Zhao,Zhua,"</v>
      </c>
    </row>
    <row r="181" spans="1:8" ht="13.5" x14ac:dyDescent="0.15">
      <c r="A181" t="s">
        <v>532</v>
      </c>
      <c r="B181" s="1" t="s">
        <v>533</v>
      </c>
      <c r="D181" s="1" t="s">
        <v>416</v>
      </c>
      <c r="E181" s="1" t="s">
        <v>417</v>
      </c>
      <c r="F181" s="1" t="s">
        <v>418</v>
      </c>
      <c r="H181" s="1" t="str">
        <f t="shared" si="2"/>
        <v>Case "这": pinyin = "Zhe,Zhei,"</v>
      </c>
    </row>
    <row r="182" spans="1:8" ht="13.5" x14ac:dyDescent="0.15">
      <c r="A182" t="s">
        <v>534</v>
      </c>
      <c r="B182" s="1" t="s">
        <v>535</v>
      </c>
      <c r="D182" s="1" t="s">
        <v>416</v>
      </c>
      <c r="E182" s="1" t="s">
        <v>417</v>
      </c>
      <c r="F182" s="1" t="s">
        <v>418</v>
      </c>
      <c r="H182" s="1" t="str">
        <f t="shared" si="2"/>
        <v>Case "著": pinyin = "Zhu,Zhuo,"</v>
      </c>
    </row>
    <row r="183" spans="1:8" ht="13.5" x14ac:dyDescent="0.15">
      <c r="A183" t="s">
        <v>536</v>
      </c>
      <c r="B183" s="1" t="s">
        <v>537</v>
      </c>
      <c r="D183" s="1" t="s">
        <v>416</v>
      </c>
      <c r="E183" s="1" t="s">
        <v>417</v>
      </c>
      <c r="F183" s="1" t="s">
        <v>418</v>
      </c>
      <c r="H183" s="1" t="str">
        <f t="shared" si="2"/>
        <v>Case "赚": pinyin = "Zhuan,Zuan,"</v>
      </c>
    </row>
    <row r="184" spans="1:8" ht="13.5" x14ac:dyDescent="0.15">
      <c r="A184" t="s">
        <v>547</v>
      </c>
      <c r="B184" s="1" t="s">
        <v>415</v>
      </c>
      <c r="D184" s="1" t="s">
        <v>416</v>
      </c>
      <c r="E184" s="1" t="s">
        <v>417</v>
      </c>
      <c r="F184" s="1" t="s">
        <v>418</v>
      </c>
      <c r="H184" s="1" t="str">
        <f t="shared" si="2"/>
        <v>Case "琢": pinyin = "Zhuo,Zuo,"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不常用筛选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Z.K.yuan</dc:creator>
  <cp:lastModifiedBy>Z.K.yuan</cp:lastModifiedBy>
  <dcterms:created xsi:type="dcterms:W3CDTF">2018-10-09T01:10:46Z</dcterms:created>
  <dcterms:modified xsi:type="dcterms:W3CDTF">2018-10-09T05:59:36Z</dcterms:modified>
</cp:coreProperties>
</file>